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ssumptions" sheetId="1" state="visible" r:id="rId1"/>
    <sheet name="Model" sheetId="2" state="visible" r:id="rId2"/>
    <sheet name="SG forecast" sheetId="3" state="visible" r:id="rId3"/>
    <sheet name="Cost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#,##0.00;(#,##0.00);&quot;-&quot;"/>
    <numFmt numFmtId="166" formatCode="0.0%;(0.0%);&quot;-&quot;"/>
    <numFmt numFmtId="167" formatCode="#,##0;[Red](#,##0);&quot;-&quot;"/>
    <numFmt numFmtId="168" formatCode="0.000"/>
    <numFmt numFmtId="169" formatCode="#,##0.0;(#,##0.0);&quot;-&quot;"/>
    <numFmt numFmtId="170" formatCode="#,##0.0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C5C5C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C5C5C"/>
      <sz val="10"/>
    </font>
    <font>
      <name val="Arial"/>
      <b val="1"/>
      <sz val="10"/>
    </font>
    <font>
      <name val="Arial"/>
      <color rgb="00000000"/>
      <sz val="10"/>
    </font>
    <font>
      <name val="Arial"/>
      <i val="1"/>
      <color rgb="005C5C5C"/>
      <sz val="9"/>
    </font>
    <font>
      <name val="Arial"/>
      <b val="1"/>
      <color rgb="00000000"/>
      <sz val="10"/>
    </font>
    <font>
      <name val="Arial"/>
      <i val="1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24406B"/>
      </patternFill>
    </fill>
    <fill>
      <patternFill patternType="solid">
        <fgColor rgb="00FFF2CC"/>
      </patternFill>
    </fill>
    <fill>
      <patternFill patternType="solid">
        <fgColor rgb="00F3EFE7"/>
      </patternFill>
    </fill>
  </fills>
  <borders count="3">
    <border>
      <left/>
      <right/>
      <top/>
      <bottom/>
      <diagonal/>
    </border>
    <border>
      <top style="thin">
        <color rgb="00BFB6A6"/>
      </top>
    </border>
    <border>
      <top style="thin">
        <color rgb="00BFB6A6"/>
      </top>
      <bottom style="double">
        <color rgb="00BFB6A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5" fillId="3" borderId="0" pivotButton="0" quotePrefix="0" xfId="0"/>
    <xf numFmtId="165" fontId="5" fillId="0" borderId="0" pivotButton="0" quotePrefix="0" xfId="0"/>
    <xf numFmtId="166" fontId="5" fillId="3" borderId="0" pivotButton="0" quotePrefix="0" xfId="0"/>
    <xf numFmtId="166" fontId="5" fillId="0" borderId="0" pivotButton="0" quotePrefix="0" xfId="0"/>
    <xf numFmtId="0" fontId="3" fillId="2" borderId="0" applyAlignment="1" pivotButton="0" quotePrefix="0" xfId="0">
      <alignment horizontal="right"/>
    </xf>
    <xf numFmtId="167" fontId="5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7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indent="1"/>
    </xf>
    <xf numFmtId="168" fontId="8" fillId="0" borderId="0" pivotButton="0" quotePrefix="0" xfId="0"/>
    <xf numFmtId="0" fontId="9" fillId="0" borderId="0" pivotButton="0" quotePrefix="0" xfId="0"/>
    <xf numFmtId="169" fontId="8" fillId="0" borderId="0" pivotButton="0" quotePrefix="0" xfId="0"/>
    <xf numFmtId="170" fontId="8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7" fontId="8" fillId="0" borderId="0" pivotButton="0" quotePrefix="0" xfId="0"/>
    <xf numFmtId="167" fontId="7" fillId="0" borderId="0" pivotButton="0" quotePrefix="0" xfId="0"/>
    <xf numFmtId="0" fontId="7" fillId="0" borderId="0" pivotButton="0" quotePrefix="0" xfId="0"/>
    <xf numFmtId="164" fontId="10" fillId="0" borderId="1" pivotButton="0" quotePrefix="0" xfId="0"/>
    <xf numFmtId="164" fontId="7" fillId="0" borderId="1" pivotButton="0" quotePrefix="0" xfId="0"/>
    <xf numFmtId="167" fontId="10" fillId="0" borderId="1" pivotButton="0" quotePrefix="0" xfId="0"/>
    <xf numFmtId="167" fontId="7" fillId="0" borderId="1" pivotButton="0" quotePrefix="0" xfId="0"/>
    <xf numFmtId="0" fontId="11" fillId="0" borderId="0" pivotButton="0" quotePrefix="0" xfId="0"/>
    <xf numFmtId="167" fontId="12" fillId="0" borderId="0" pivotButton="0" quotePrefix="0" xfId="0"/>
    <xf numFmtId="167" fontId="10" fillId="3" borderId="2" pivotButton="0" quotePrefix="0" xfId="0"/>
    <xf numFmtId="167" fontId="7" fillId="3" borderId="2" pivotButton="0" quotePrefix="0" xfId="0"/>
    <xf numFmtId="167" fontId="10" fillId="0" borderId="0" pivotButton="0" quotePrefix="0" xfId="0"/>
    <xf numFmtId="49" fontId="8" fillId="0" borderId="0" pivotButton="0" quotePrefix="0" xfId="0"/>
    <xf numFmtId="0" fontId="7" fillId="0" borderId="0" applyAlignment="1" pivotButton="0" quotePrefix="0" xfId="0">
      <alignment indent="1"/>
    </xf>
    <xf numFmtId="9" fontId="7" fillId="0" borderId="0" pivotButton="0" quotePrefix="0" xfId="0"/>
    <xf numFmtId="49" fontId="7" fillId="0" borderId="0" pivotButton="0" quotePrefix="0" xfId="0"/>
    <xf numFmtId="164" fontId="12" fillId="0" borderId="0" pivotButton="0" quotePrefix="0" xfId="0"/>
    <xf numFmtId="166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4" fillId="0" borderId="0" applyAlignment="1" pivotButton="0" quotePrefix="0" xfId="0">
      <alignment vertical="top"/>
    </xf>
    <xf numFmtId="167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model</author>
  </authors>
  <commentList>
    <comment ref="A34" authorId="0" shapeId="0">
      <text>
        <t>Gross profit on extra cups plus Proposal 2's operating savings.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40" customWidth="1" min="7" max="7"/>
    <col width="30" customWidth="1" min="8" max="8"/>
  </cols>
  <sheetData>
    <row r="1">
      <c r="A1" s="1" t="inlineStr">
        <is>
          <t>Chagee Singapore · AI proposals 1-3 · model assumptions</t>
        </is>
      </c>
    </row>
    <row r="2" ht="30" customHeight="1">
      <c r="A2" s="2" t="inlineStr">
        <is>
          <t>All money in Singapore dollars (S$). Illustrative assumptions, not Chagee data. Blue cells are inputs: change them and the Model and Cost plan sheets update. Base figures reuse the inputs behind the deck's earlier slides.</t>
        </is>
      </c>
    </row>
    <row r="4">
      <c r="A4" s="3" t="inlineStr">
        <is>
          <t>Base business (from the deck)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rationale</t>
        </is>
      </c>
      <c r="E4" s="4" t="n"/>
      <c r="F4" s="4" t="n"/>
      <c r="G4" s="4" t="n"/>
      <c r="H4" s="4" t="n"/>
    </row>
    <row r="5">
      <c r="A5" s="5" t="inlineStr">
        <is>
          <t>Chagee outlets in Singapore</t>
        </is>
      </c>
      <c r="B5" s="6" t="n">
        <v>44</v>
      </c>
      <c r="C5" s="7" t="inlineStr">
        <is>
          <t>outlets</t>
        </is>
      </c>
      <c r="D5" s="7" t="inlineStr">
        <is>
          <t>L-sg-directory. Store count used on the storyboard deck. The doc also cites 46 (VnExpress, earlier); the later directory count is used.</t>
        </is>
      </c>
    </row>
    <row r="6">
      <c r="A6" s="5" t="inlineStr">
        <is>
          <t>Cups per outlet per year (stabilised)</t>
        </is>
      </c>
      <c r="B6" s="8" t="n">
        <v>240000</v>
      </c>
      <c r="C6" s="7" t="inlineStr">
        <is>
          <t>cups</t>
        </is>
      </c>
      <c r="D6" s="7" t="inlineStr">
        <is>
          <t>Team-provided: a stabilised Chagee outlet in Singapore averages about 230,000 to 250,000+ cups a year; midpoint used.</t>
        </is>
      </c>
    </row>
    <row r="7">
      <c r="A7" s="5" t="inlineStr">
        <is>
          <t>Average price per cup</t>
        </is>
      </c>
      <c r="B7" s="9" t="n">
        <v>5.9</v>
      </c>
      <c r="C7" s="7" t="inlineStr">
        <is>
          <t>S$ per cup</t>
        </is>
      </c>
      <c r="D7" s="7" t="inlineStr">
        <is>
          <t>Deck assumption (price per cup), illustrative.</t>
        </is>
      </c>
    </row>
    <row r="8">
      <c r="A8" s="5" t="inlineStr">
        <is>
          <t>Gross margin</t>
        </is>
      </c>
      <c r="B8" s="10" t="n">
        <v>0.54</v>
      </c>
      <c r="C8" s="7" t="inlineStr">
        <is>
          <t>share of revenue</t>
        </is>
      </c>
      <c r="D8" s="7" t="inlineStr">
        <is>
          <t>Chagee's reported corporate gross margin, about 54% (figure provided by the team; check against Chagee's latest annual report before submission).</t>
        </is>
      </c>
    </row>
    <row r="9">
      <c r="A9" s="5" t="inlineStr">
        <is>
          <t>Organic growth in cups per outlet</t>
        </is>
      </c>
      <c r="B9" s="10" t="n">
        <v>0.03</v>
      </c>
      <c r="C9" s="7" t="inlineStr">
        <is>
          <t>per year</t>
        </is>
      </c>
      <c r="D9" s="7" t="inlineStr">
        <is>
          <t>Illustrative same-store growth in cups, without the proposals. Applied to existing and new outlets.</t>
        </is>
      </c>
    </row>
    <row r="10">
      <c r="A10" s="5" t="inlineStr">
        <is>
          <t>Labour cost per hour</t>
        </is>
      </c>
      <c r="B10" s="9" t="n">
        <v>15.06</v>
      </c>
      <c r="C10" s="7" t="inlineStr">
        <is>
          <t>S$ per hour</t>
        </is>
      </c>
      <c r="D10" s="7" t="inlineStr">
        <is>
          <t>Deck assumption (costs.labour_cost_per_hour), illustrative.</t>
        </is>
      </c>
    </row>
    <row r="11">
      <c r="A11" s="5" t="inlineStr">
        <is>
          <t>Wage inflation</t>
        </is>
      </c>
      <c r="B11" s="10" t="n">
        <v>0.03</v>
      </c>
      <c r="C11" s="7" t="inlineStr">
        <is>
          <t>per year</t>
        </is>
      </c>
      <c r="D11" s="7" t="inlineStr">
        <is>
          <t>Illustrative wage inflation, applied to outlet staff costs and to the value of staff hours saved. Rent held flat.</t>
        </is>
      </c>
    </row>
    <row r="12">
      <c r="A12" s="5" t="inlineStr">
        <is>
          <t>Tea machine cost per unit per month</t>
        </is>
      </c>
      <c r="B12" s="9" t="n">
        <v>1908.75</v>
      </c>
      <c r="C12" s="7" t="inlineStr">
        <is>
          <t>S$ per month</t>
        </is>
      </c>
      <c r="D12" s="7" t="inlineStr">
        <is>
          <t>Deck assumption (costs.machine_cost_per_unit_per_month), illustrative.</t>
        </is>
      </c>
    </row>
    <row r="14">
      <c r="A14" s="3" t="inlineStr">
        <is>
          <t>Singapore operations (SG forecast sheet only)</t>
        </is>
      </c>
      <c r="B14" s="3" t="inlineStr">
        <is>
          <t>Value</t>
        </is>
      </c>
      <c r="C14" s="3" t="inlineStr">
        <is>
          <t>Unit</t>
        </is>
      </c>
      <c r="D14" s="3" t="inlineStr">
        <is>
          <t>Source / rationale</t>
        </is>
      </c>
      <c r="E14" s="4" t="n"/>
      <c r="F14" s="4" t="n"/>
      <c r="G14" s="4" t="n"/>
      <c r="H14" s="4" t="n"/>
    </row>
    <row r="15">
      <c r="A15" s="5" t="inlineStr">
        <is>
          <t>Staff on shift, average</t>
        </is>
      </c>
      <c r="B15" s="9" t="n">
        <v>3</v>
      </c>
      <c r="C15" s="7" t="inlineStr">
        <is>
          <t>staff</t>
        </is>
      </c>
      <c r="D15" s="7" t="inlineStr">
        <is>
          <t>Illustrative. More at the peak, fewer when quiet. Used only for the Singapore forecast's labour line.</t>
        </is>
      </c>
    </row>
    <row r="16">
      <c r="A16" s="5" t="inlineStr">
        <is>
          <t>Open hours per day</t>
        </is>
      </c>
      <c r="B16" s="6" t="n">
        <v>12</v>
      </c>
      <c r="C16" s="7" t="inlineStr">
        <is>
          <t>hours</t>
        </is>
      </c>
      <c r="D16" s="7" t="inlineStr">
        <is>
          <t>Deck assumption (store.open_hours_per_day), illustrative.</t>
        </is>
      </c>
    </row>
    <row r="17">
      <c r="A17" s="5" t="inlineStr">
        <is>
          <t>Open days per year</t>
        </is>
      </c>
      <c r="B17" s="6" t="n">
        <v>360</v>
      </c>
      <c r="C17" s="7" t="inlineStr">
        <is>
          <t>days</t>
        </is>
      </c>
      <c r="D17" s="7" t="inlineStr">
        <is>
          <t>Deck assumption (store.open_days_per_year), illustrative.</t>
        </is>
      </c>
    </row>
    <row r="18">
      <c r="A18" s="5" t="inlineStr">
        <is>
          <t>Rent per outlet</t>
        </is>
      </c>
      <c r="B18" s="6" t="n">
        <v>15000</v>
      </c>
      <c r="C18" s="7" t="inlineStr">
        <is>
          <t>S$ per month</t>
        </is>
      </c>
      <c r="D18" s="7" t="inlineStr">
        <is>
          <t>Deck assumption (site_ext.rent_per_month), illustrative.</t>
        </is>
      </c>
    </row>
    <row r="19">
      <c r="A19" s="5" t="inlineStr">
        <is>
          <t>Utilities per outlet</t>
        </is>
      </c>
      <c r="B19" s="6" t="n">
        <v>2500</v>
      </c>
      <c r="C19" s="7" t="inlineStr">
        <is>
          <t>S$ per month</t>
        </is>
      </c>
      <c r="D19" s="7" t="inlineStr">
        <is>
          <t>Deck assumption (site_ext.utilities_per_month), illustrative.</t>
        </is>
      </c>
    </row>
    <row r="20">
      <c r="A20" s="5" t="inlineStr">
        <is>
          <t>Cups sold through delivery apps</t>
        </is>
      </c>
      <c r="B20" s="11" t="n">
        <v>0.3</v>
      </c>
      <c r="C20" s="7" t="inlineStr">
        <is>
          <t>share of baseline cups</t>
        </is>
      </c>
      <c r="D20" s="7" t="inlineStr">
        <is>
          <t>Deck assumption (site_ext.delivery_share_of_cups), illustrative.</t>
        </is>
      </c>
    </row>
    <row r="21">
      <c r="A21" s="5" t="inlineStr">
        <is>
          <t>Delivery-app commission</t>
        </is>
      </c>
      <c r="B21" s="11" t="n">
        <v>0.3</v>
      </c>
      <c r="C21" s="7" t="inlineStr">
        <is>
          <t>share of delivery sales</t>
        </is>
      </c>
      <c r="D21" s="7" t="inlineStr">
        <is>
          <t>Deck assumption (site_ext.delivery_commission_share). Charged on baseline sales; the proposals' extra cups are mostly in-store and app pickups.</t>
        </is>
      </c>
    </row>
    <row r="23">
      <c r="A23" s="3" t="inlineStr">
        <is>
          <t>Proposal 1 · dynamic demand management</t>
        </is>
      </c>
      <c r="B23" s="3" t="inlineStr">
        <is>
          <t>Value</t>
        </is>
      </c>
      <c r="C23" s="3" t="inlineStr">
        <is>
          <t>Unit</t>
        </is>
      </c>
      <c r="D23" s="3" t="inlineStr">
        <is>
          <t>Source / rationale</t>
        </is>
      </c>
      <c r="E23" s="4" t="n"/>
      <c r="F23" s="4" t="n"/>
      <c r="G23" s="4" t="n"/>
      <c r="H23" s="4" t="n"/>
    </row>
    <row r="24">
      <c r="A24" s="5" t="inlineStr">
        <is>
          <t>Cups lost at peak today</t>
        </is>
      </c>
      <c r="B24" s="10" t="n">
        <v>0.03</v>
      </c>
      <c r="C24" s="7" t="inlineStr">
        <is>
          <t>share of cups lost at peak (walk-aways, crowding)</t>
        </is>
      </c>
      <c r="D24" s="7" t="inlineStr">
        <is>
          <t>Illustrative. Cups customers would have bought but did not, because of queues.</t>
        </is>
      </c>
    </row>
    <row r="25">
      <c r="A25" s="5" t="inlineStr">
        <is>
          <t>Share of lost cups recovered</t>
        </is>
      </c>
      <c r="B25" s="10" t="n">
        <v>0.3</v>
      </c>
      <c r="C25" s="7" t="inlineStr">
        <is>
          <t>share of lost cups recovered by redirection</t>
        </is>
      </c>
      <c r="D25" s="7" t="inlineStr">
        <is>
          <t>Illustrative. Customers who switch outlet or delivery channel instead of leaving.</t>
        </is>
      </c>
    </row>
    <row r="26">
      <c r="A26" s="5" t="inlineStr">
        <is>
          <t>Orders redirected to another outlet</t>
        </is>
      </c>
      <c r="B26" s="11" t="n">
        <v>0.02</v>
      </c>
      <c r="C26" s="7" t="inlineStr">
        <is>
          <t>share of all orders redirected to another outlet</t>
        </is>
      </c>
      <c r="D26" s="7" t="inlineStr">
        <is>
          <t>Illustrative. Perks go to every redirected order, not only to customers who would otherwise have walked away, so redirected orders exceed recovered cups.</t>
        </is>
      </c>
    </row>
    <row r="27">
      <c r="A27" s="5" t="inlineStr">
        <is>
          <t>Redirected orders given a switch perk</t>
        </is>
      </c>
      <c r="B27" s="11" t="n">
        <v>0.5</v>
      </c>
      <c r="C27" s="7" t="inlineStr">
        <is>
          <t>share of redirected orders given a switch perk</t>
        </is>
      </c>
      <c r="D27" s="7" t="inlineStr">
        <is>
          <t>Illustrative. Perks only while an outlet is swamped; some customers switch without one.</t>
        </is>
      </c>
    </row>
    <row r="28">
      <c r="A28" s="5" t="inlineStr">
        <is>
          <t>Cost per switch perk</t>
        </is>
      </c>
      <c r="B28" s="9" t="n">
        <v>0.5</v>
      </c>
      <c r="C28" s="7" t="inlineStr">
        <is>
          <t>S$ per perk</t>
        </is>
      </c>
      <c r="D28" s="7" t="inlineStr">
        <is>
          <t>Illustrative average cost of a voucher or carrier bag.</t>
        </is>
      </c>
    </row>
    <row r="30">
      <c r="A30" s="3" t="inlineStr">
        <is>
          <t>Proposal 2 · AI-enabled in-store planning</t>
        </is>
      </c>
      <c r="B30" s="3" t="inlineStr">
        <is>
          <t>Value</t>
        </is>
      </c>
      <c r="C30" s="3" t="inlineStr">
        <is>
          <t>Unit</t>
        </is>
      </c>
      <c r="D30" s="3" t="inlineStr">
        <is>
          <t>Source / rationale</t>
        </is>
      </c>
      <c r="E30" s="4" t="n"/>
      <c r="F30" s="4" t="n"/>
      <c r="G30" s="4" t="n"/>
      <c r="H30" s="4" t="n"/>
    </row>
    <row r="31">
      <c r="A31" s="5" t="inlineStr">
        <is>
          <t>Extra cups served at the peak</t>
        </is>
      </c>
      <c r="B31" s="11" t="n">
        <v>0.005</v>
      </c>
      <c r="C31" s="7" t="inlineStr">
        <is>
          <t>share of cups added at the peak</t>
        </is>
      </c>
      <c r="D31" s="7" t="inlineStr">
        <is>
          <t>Illustrative. Staff and machines ready for busy days.</t>
        </is>
      </c>
    </row>
    <row r="32">
      <c r="A32" s="5" t="inlineStr">
        <is>
          <t>Idle staff hours avoided</t>
        </is>
      </c>
      <c r="B32" s="8" t="n">
        <v>10</v>
      </c>
      <c r="C32" s="7" t="inlineStr">
        <is>
          <t>hours per outlet per week</t>
        </is>
      </c>
      <c r="D32" s="7" t="inlineStr">
        <is>
          <t>Illustrative. Rosters flex down on quiet days.</t>
        </is>
      </c>
    </row>
    <row r="33">
      <c r="A33" s="5" t="inlineStr">
        <is>
          <t>Fresh stock wasted today</t>
        </is>
      </c>
      <c r="B33" s="11" t="n">
        <v>0.03</v>
      </c>
      <c r="C33" s="7" t="inlineStr">
        <is>
          <t>fresh stock written off, share of revenue</t>
        </is>
      </c>
      <c r="D33" s="7" t="inlineStr">
        <is>
          <t>Illustrative. Perishables prepped but not sold.</t>
        </is>
      </c>
    </row>
    <row r="34">
      <c r="A34" s="5" t="inlineStr">
        <is>
          <t>Share of that waste avoided</t>
        </is>
      </c>
      <c r="B34" s="10" t="n">
        <v>0.2</v>
      </c>
      <c r="C34" s="7" t="inlineStr">
        <is>
          <t>share of that waste avoided</t>
        </is>
      </c>
      <c r="D34" s="7" t="inlineStr">
        <is>
          <t>Illustrative. Fresh prep matched to each week's demand.</t>
        </is>
      </c>
    </row>
    <row r="35">
      <c r="A35" s="5" t="inlineStr">
        <is>
          <t>Net machines avoided per outlet</t>
        </is>
      </c>
      <c r="B35" s="9" t="n">
        <v>0.1</v>
      </c>
      <c r="C35" s="7" t="inlineStr">
        <is>
          <t>units per outlet</t>
        </is>
      </c>
      <c r="D35" s="7" t="inlineStr">
        <is>
          <t>Illustrative. Some outlets run one fewer, a few add one; the net is small.</t>
        </is>
      </c>
    </row>
    <row r="37">
      <c r="A37" s="3" t="inlineStr">
        <is>
          <t>Proposal 3 · new-store site model</t>
        </is>
      </c>
      <c r="B37" s="3" t="inlineStr">
        <is>
          <t>Value</t>
        </is>
      </c>
      <c r="C37" s="3" t="inlineStr">
        <is>
          <t>Unit</t>
        </is>
      </c>
      <c r="D37" s="3" t="inlineStr">
        <is>
          <t>Source / rationale</t>
        </is>
      </c>
      <c r="E37" s="4" t="n"/>
      <c r="F37" s="4" t="n"/>
      <c r="G37" s="4" t="n"/>
      <c r="H37" s="4" t="n"/>
    </row>
    <row r="38">
      <c r="A38" s="5" t="inlineStr">
        <is>
          <t>Extra cups at an AI-chosen site</t>
        </is>
      </c>
      <c r="B38" s="10" t="n">
        <v>0.1</v>
      </c>
      <c r="C38" s="7" t="inlineStr">
        <is>
          <t>extra net-new cups at an AI-chosen site vs a conventional pick</t>
        </is>
      </c>
      <c r="D38" s="7" t="inlineStr">
        <is>
          <t>Illustrative. Only the uplift is attributed to the site model, not the new outlet's whole revenue.</t>
        </is>
      </c>
    </row>
    <row r="40">
      <c r="A40" s="3" t="inlineStr">
        <is>
          <t>Costs of the initiatives</t>
        </is>
      </c>
      <c r="B40" s="3" t="inlineStr">
        <is>
          <t>Value</t>
        </is>
      </c>
      <c r="C40" s="3" t="inlineStr">
        <is>
          <t>Unit</t>
        </is>
      </c>
      <c r="D40" s="3" t="inlineStr">
        <is>
          <t>Source / rationale</t>
        </is>
      </c>
      <c r="E40" s="4" t="n"/>
      <c r="F40" s="4" t="n"/>
      <c r="G40" s="4" t="n"/>
      <c r="H40" s="4" t="n"/>
    </row>
    <row r="41">
      <c r="A41" s="5" t="inlineStr">
        <is>
          <t>Project manager</t>
        </is>
      </c>
      <c r="B41" s="6" t="n">
        <v>12000</v>
      </c>
      <c r="C41" s="7" t="inlineStr">
        <is>
          <t>S$ per month</t>
        </is>
      </c>
      <c r="D41" s="7" t="inlineStr">
        <is>
          <t>Illustrative project manager cost.</t>
        </is>
      </c>
    </row>
    <row r="42">
      <c r="A42" s="5" t="inlineStr">
        <is>
          <t>AI engineer</t>
        </is>
      </c>
      <c r="B42" s="6" t="n">
        <v>14000</v>
      </c>
      <c r="C42" s="7" t="inlineStr">
        <is>
          <t>S$ per month</t>
        </is>
      </c>
      <c r="D42" s="7" t="inlineStr">
        <is>
          <t>Illustrative AI engineer cost.</t>
        </is>
      </c>
    </row>
    <row r="43">
      <c r="A43" s="5" t="inlineStr">
        <is>
          <t>Platform build (one-off)</t>
        </is>
      </c>
      <c r="B43" s="8" t="n">
        <v>100000</v>
      </c>
      <c r="C43" s="7" t="inlineStr">
        <is>
          <t>S$</t>
        </is>
      </c>
      <c r="D43" s="7" t="inlineStr">
        <is>
          <t>Illustrative, lean set-up: the dashboard and assistant run on off-the-shelf BI and AI services, configured rather than custom-built; external developers only add the app pop-up and the delivery-app link. Forecasts and the site model are built by our AI engineer, already costed in the project team.</t>
        </is>
      </c>
    </row>
    <row r="44">
      <c r="A44" s="5" t="inlineStr">
        <is>
          <t>Data pipelines and cloud set-up (one-off)</t>
        </is>
      </c>
      <c r="B44" s="6" t="n">
        <v>60000</v>
      </c>
      <c r="C44" s="7" t="inlineStr">
        <is>
          <t>S$</t>
        </is>
      </c>
      <c r="D44" s="7" t="inlineStr">
        <is>
          <t>Illustrative. Connecting the POS, app, delivery and stock data to one cloud warehouse, using standard connectors.</t>
        </is>
      </c>
    </row>
    <row r="45">
      <c r="A45" s="5" t="inlineStr">
        <is>
          <t>Security and PDPA review (one-off)</t>
        </is>
      </c>
      <c r="B45" s="6" t="n">
        <v>20000</v>
      </c>
      <c r="C45" s="7" t="inlineStr">
        <is>
          <t>S$</t>
        </is>
      </c>
      <c r="D45" s="7" t="inlineStr">
        <is>
          <t>Illustrative. Security testing and a PDPA review before customer data drives app pop-ups.</t>
        </is>
      </c>
    </row>
    <row r="46">
      <c r="A46" s="5" t="inlineStr">
        <is>
          <t>Training per outlet (one-off)</t>
        </is>
      </c>
      <c r="B46" s="6" t="n">
        <v>0</v>
      </c>
      <c r="C46" s="7" t="inlineStr">
        <is>
          <t>S$ per outlet</t>
        </is>
      </c>
      <c r="D46" s="7" t="inlineStr">
        <is>
          <t>Cross-training is delivered by existing zone and store managers during normal shifts: no incremental cost.</t>
        </is>
      </c>
    </row>
    <row r="47">
      <c r="A47" s="5" t="inlineStr">
        <is>
          <t>Run team</t>
        </is>
      </c>
      <c r="B47" s="6" t="n">
        <v>240000</v>
      </c>
      <c r="C47" s="7" t="inlineStr">
        <is>
          <t>S$ per year</t>
        </is>
      </c>
      <c r="D47" s="7" t="inlineStr">
        <is>
          <t>AI engineer full-time (12 x S$14k) and project manager half-time (12 x S$6k), at the project team's rates, to run and improve the platform.</t>
        </is>
      </c>
    </row>
    <row r="48">
      <c r="A48" s="5" t="inlineStr">
        <is>
          <t>Cloud, licences and AI services</t>
        </is>
      </c>
      <c r="B48" s="6" t="n">
        <v>70000</v>
      </c>
      <c r="C48" s="7" t="inlineStr">
        <is>
          <t>S$ per year</t>
        </is>
      </c>
      <c r="D48" s="7" t="inlineStr">
        <is>
          <t>Illustrative: cloud compute, data warehouse and AI services for about 50 outlets, plus dashboard licences for managers and assistant usage.</t>
        </is>
      </c>
    </row>
    <row r="49">
      <c r="A49" s="5" t="inlineStr">
        <is>
          <t>Software maintenance</t>
        </is>
      </c>
      <c r="B49" s="11" t="n">
        <v>0.2</v>
      </c>
      <c r="C49" s="7" t="inlineStr">
        <is>
          <t>of platform build a year</t>
        </is>
      </c>
      <c r="D49" s="7" t="inlineStr">
        <is>
          <t>Typical yearly upkeep of externally built software: fixes, app-store and delivery-app API changes. From launch.</t>
        </is>
      </c>
    </row>
    <row r="51">
      <c r="A51" s="3" t="inlineStr">
        <is>
          <t>Yearly profile</t>
        </is>
      </c>
      <c r="B51" s="12" t="inlineStr">
        <is>
          <t>2026</t>
        </is>
      </c>
      <c r="C51" s="12" t="inlineStr">
        <is>
          <t>2027</t>
        </is>
      </c>
      <c r="D51" s="12" t="inlineStr">
        <is>
          <t>2028</t>
        </is>
      </c>
      <c r="E51" s="12" t="inlineStr">
        <is>
          <t>2029</t>
        </is>
      </c>
      <c r="F51" s="12" t="inlineStr">
        <is>
          <t>2030</t>
        </is>
      </c>
      <c r="G51" s="3" t="inlineStr">
        <is>
          <t>Rationale</t>
        </is>
      </c>
      <c r="H51" s="4" t="n"/>
    </row>
    <row r="52">
      <c r="A52" s="5" t="inlineStr">
        <is>
          <t>Proposal 1: outlets covered</t>
        </is>
      </c>
      <c r="B52" s="11" t="n">
        <v>0</v>
      </c>
      <c r="C52" s="11" t="n">
        <v>0.65</v>
      </c>
      <c r="D52" s="11" t="n">
        <v>1</v>
      </c>
      <c r="E52" s="11" t="n">
        <v>1</v>
      </c>
      <c r="F52" s="11" t="n">
        <v>1</v>
      </c>
      <c r="G52" s="7" t="inlineStr">
        <is>
          <t>Proposal 1: one-zone test from January 2027, expanding zone by zone; every outlet from July 2027 (2H2027).</t>
        </is>
      </c>
    </row>
    <row r="53">
      <c r="A53" s="5" t="inlineStr">
        <is>
          <t>Proposal 2: outlets covered</t>
        </is>
      </c>
      <c r="B53" s="11" t="n">
        <v>0</v>
      </c>
      <c r="C53" s="11" t="n">
        <v>0.55</v>
      </c>
      <c r="D53" s="11" t="n">
        <v>1</v>
      </c>
      <c r="E53" s="11" t="n">
        <v>1</v>
      </c>
      <c r="F53" s="11" t="n">
        <v>1</v>
      </c>
      <c r="G53" s="7" t="inlineStr">
        <is>
          <t>Proposal 2: forecasts from February, one-zone test April-May, launch June; every outlet from July 2027 (2H2027).</t>
        </is>
      </c>
    </row>
    <row r="54">
      <c r="A54" s="5" t="inlineStr">
        <is>
          <t>Model effectiveness (learning curve)</t>
        </is>
      </c>
      <c r="B54" s="11" t="n">
        <v>0</v>
      </c>
      <c r="C54" s="11" t="n">
        <v>0.65</v>
      </c>
      <c r="D54" s="11" t="n">
        <v>0.85</v>
      </c>
      <c r="E54" s="11" t="n">
        <v>0.95</v>
      </c>
      <c r="F54" s="11" t="n">
        <v>1</v>
      </c>
      <c r="G54" s="7" t="inlineStr">
        <is>
          <t>The shared model keeps learning: about two-thirds of the full effect in 2027, near full by 2029.</t>
        </is>
      </c>
    </row>
    <row r="55">
      <c r="A55" s="5" t="inlineStr">
        <is>
          <t>New outlets opened (site model)</t>
        </is>
      </c>
      <c r="B55" s="6" t="n">
        <v>0</v>
      </c>
      <c r="C55" s="6" t="n">
        <v>2</v>
      </c>
      <c r="D55" s="6" t="n">
        <v>1</v>
      </c>
      <c r="E55" s="6" t="n">
        <v>1</v>
      </c>
      <c r="F55" s="6" t="n">
        <v>1</v>
      </c>
      <c r="G55" s="7" t="inlineStr">
        <is>
          <t>Two outlets chosen with the site model in 2027 (execution plan), then one a year: Singapore is already quite saturated. Each opens mid-year. Their normal sales join the baseline; only the extra sales from a better site count towards Proposal 3.</t>
        </is>
      </c>
    </row>
    <row r="56">
      <c r="A56" s="5" t="inlineStr">
        <is>
          <t>Project team months</t>
        </is>
      </c>
      <c r="B56" s="6" t="n">
        <v>3</v>
      </c>
      <c r="C56" s="6" t="n">
        <v>12</v>
      </c>
      <c r="D56" s="6" t="n">
        <v>0</v>
      </c>
      <c r="E56" s="6" t="n">
        <v>0</v>
      </c>
      <c r="F56" s="6" t="n">
        <v>0</v>
      </c>
      <c r="G56" s="7" t="inlineStr">
        <is>
          <t>Design and plan from October 2026; build, pilot and launch through 2027. From 2028 a smaller run team takes over.</t>
        </is>
      </c>
    </row>
    <row r="57">
      <c r="A57" s="5" t="inlineStr">
        <is>
          <t>One-off build spent</t>
        </is>
      </c>
      <c r="B57" s="11" t="n">
        <v>0</v>
      </c>
      <c r="C57" s="11" t="n">
        <v>1</v>
      </c>
      <c r="D57" s="11" t="n">
        <v>0</v>
      </c>
      <c r="E57" s="11" t="n">
        <v>0</v>
      </c>
      <c r="F57" s="11" t="n">
        <v>0</v>
      </c>
      <c r="G57" s="7" t="inlineStr">
        <is>
          <t>Platform and data set-up are built and paid for during the 2027 pilots.</t>
        </is>
      </c>
    </row>
    <row r="58">
      <c r="A58" s="5" t="inlineStr">
        <is>
          <t>Outlets trained</t>
        </is>
      </c>
      <c r="B58" s="6" t="n">
        <v>0</v>
      </c>
      <c r="C58" s="6" t="n">
        <v>46</v>
      </c>
      <c r="D58" s="6" t="n">
        <v>1</v>
      </c>
      <c r="E58" s="6" t="n">
        <v>1</v>
      </c>
      <c r="F58" s="6" t="n">
        <v>1</v>
      </c>
      <c r="G58" s="7" t="inlineStr">
        <is>
          <t>All 44 outlets plus the two new ones as Proposals 1 and 2 roll out in 2027; each later new outlet after that.</t>
        </is>
      </c>
    </row>
    <row r="59">
      <c r="A59" s="5" t="inlineStr">
        <is>
          <t>Run team, share of a year</t>
        </is>
      </c>
      <c r="B59" s="11" t="n">
        <v>0</v>
      </c>
      <c r="C59" s="11" t="n">
        <v>0</v>
      </c>
      <c r="D59" s="11" t="n">
        <v>1</v>
      </c>
      <c r="E59" s="11" t="n">
        <v>1</v>
      </c>
      <c r="F59" s="11" t="n">
        <v>1</v>
      </c>
      <c r="G59" s="7" t="inlineStr">
        <is>
          <t>From 2028 a smaller run team replaces the project team.</t>
        </is>
      </c>
    </row>
    <row r="60">
      <c r="A60" s="5" t="inlineStr">
        <is>
          <t>Cloud, share of a year</t>
        </is>
      </c>
      <c r="B60" s="11" t="n">
        <v>0</v>
      </c>
      <c r="C60" s="11" t="n">
        <v>0.75</v>
      </c>
      <c r="D60" s="11" t="n">
        <v>1</v>
      </c>
      <c r="E60" s="11" t="n">
        <v>1</v>
      </c>
      <c r="F60" s="11" t="n">
        <v>1</v>
      </c>
      <c r="G60" s="7" t="inlineStr">
        <is>
          <t>Pilot zones in 1H2027, every outlet from 2H2027; full from 2028.</t>
        </is>
      </c>
    </row>
    <row r="61">
      <c r="A61" s="5" t="inlineStr">
        <is>
          <t>Chagee managers' time (S$)</t>
        </is>
      </c>
      <c r="B61" s="13" t="n">
        <v>0</v>
      </c>
      <c r="C61" s="13" t="n">
        <v>0</v>
      </c>
      <c r="D61" s="13" t="n">
        <v>0</v>
      </c>
      <c r="E61" s="13" t="n">
        <v>0</v>
      </c>
      <c r="F61" s="13" t="n">
        <v>0</v>
      </c>
      <c r="G61" s="7" t="inlineStr">
        <is>
          <t>Chagee's supply chain, zone and store managers work on the project as part of their existing roles: no incremental cost. Kept as a row so the time is visible.</t>
        </is>
      </c>
    </row>
  </sheetData>
  <mergeCells count="46">
    <mergeCell ref="D35:H35"/>
    <mergeCell ref="D20:H20"/>
    <mergeCell ref="D34:H34"/>
    <mergeCell ref="D10:H10"/>
    <mergeCell ref="G55:J55"/>
    <mergeCell ref="D19:H19"/>
    <mergeCell ref="G54:J54"/>
    <mergeCell ref="D31:H31"/>
    <mergeCell ref="D46:H46"/>
    <mergeCell ref="D45:H45"/>
    <mergeCell ref="G60:J60"/>
    <mergeCell ref="D21:H21"/>
    <mergeCell ref="D6:H6"/>
    <mergeCell ref="G56:J56"/>
    <mergeCell ref="D11:H11"/>
    <mergeCell ref="D49:H49"/>
    <mergeCell ref="D27:H27"/>
    <mergeCell ref="G52:J52"/>
    <mergeCell ref="G59:J59"/>
    <mergeCell ref="D41:H41"/>
    <mergeCell ref="D32:H32"/>
    <mergeCell ref="D48:H48"/>
    <mergeCell ref="D17:H17"/>
    <mergeCell ref="G61:J61"/>
    <mergeCell ref="D7:H7"/>
    <mergeCell ref="D47:H47"/>
    <mergeCell ref="D16:H16"/>
    <mergeCell ref="D43:H43"/>
    <mergeCell ref="A2:H2"/>
    <mergeCell ref="D28:H28"/>
    <mergeCell ref="D18:H18"/>
    <mergeCell ref="G57:J57"/>
    <mergeCell ref="D9:H9"/>
    <mergeCell ref="D12:H12"/>
    <mergeCell ref="D8:H8"/>
    <mergeCell ref="D25:H25"/>
    <mergeCell ref="D15:H15"/>
    <mergeCell ref="G53:J53"/>
    <mergeCell ref="D24:H24"/>
    <mergeCell ref="D42:H42"/>
    <mergeCell ref="D33:H33"/>
    <mergeCell ref="D5:H5"/>
    <mergeCell ref="D38:H38"/>
    <mergeCell ref="G58:J58"/>
    <mergeCell ref="D26:H26"/>
    <mergeCell ref="D44:H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8" customWidth="1" min="8" max="8"/>
  </cols>
  <sheetData>
    <row r="1">
      <c r="A1" s="1" t="inlineStr">
        <is>
          <t>Chagee Singapore · AI proposals 1-3 · five-year financial impact (S$)</t>
        </is>
      </c>
    </row>
    <row r="2">
      <c r="A2" s="14" t="inlineStr">
        <is>
          <t>Incremental to Chagee Singapore without the proposals (organic growth and new outlets included in the baseline). Illustrative assumptions, not Chagee data. Execution starts January 2027; the project team is set up in late 2026.</t>
        </is>
      </c>
    </row>
    <row r="4">
      <c r="A4" s="15" t="inlineStr">
        <is>
          <t>S$</t>
        </is>
      </c>
      <c r="B4" s="12" t="inlineStr">
        <is>
          <t>2026</t>
        </is>
      </c>
      <c r="C4" s="12" t="inlineStr">
        <is>
          <t>2027</t>
        </is>
      </c>
      <c r="D4" s="12" t="inlineStr">
        <is>
          <t>2028</t>
        </is>
      </c>
      <c r="E4" s="12" t="inlineStr">
        <is>
          <t>2029</t>
        </is>
      </c>
      <c r="F4" s="12" t="inlineStr">
        <is>
          <t>2030</t>
        </is>
      </c>
      <c r="G4" s="12" t="inlineStr">
        <is>
          <t>5-year total</t>
        </is>
      </c>
      <c r="H4" s="15" t="inlineStr">
        <is>
          <t>Assumptions</t>
        </is>
      </c>
    </row>
    <row r="5"/>
    <row r="6">
      <c r="A6" s="16" t="inlineStr">
        <is>
          <t>Baseline · Chagee Singapore without the proposals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18" t="inlineStr">
        <is>
          <t>Organic growth index</t>
        </is>
      </c>
      <c r="B7" s="19">
        <f>(1+Assumptions!$B$9)^(VALUE(B$4)-VALUE($B$4))</f>
        <v/>
      </c>
      <c r="C7" s="19">
        <f>(1+Assumptions!$B$9)^(VALUE(C$4)-VALUE($B$4))</f>
        <v/>
      </c>
      <c r="D7" s="19">
        <f>(1+Assumptions!$B$9)^(VALUE(D$4)-VALUE($B$4))</f>
        <v/>
      </c>
      <c r="E7" s="19">
        <f>(1+Assumptions!$B$9)^(VALUE(E$4)-VALUE($B$4))</f>
        <v/>
      </c>
      <c r="F7" s="19">
        <f>(1+Assumptions!$B$9)^(VALUE(F$4)-VALUE($B$4))</f>
        <v/>
      </c>
      <c r="H7" s="20" t="inlineStr">
        <is>
          <t>cups per outlet grow each year</t>
        </is>
      </c>
    </row>
    <row r="8">
      <c r="A8" s="18" t="inlineStr">
        <is>
          <t>Wage index</t>
        </is>
      </c>
      <c r="B8" s="19">
        <f>(1+Assumptions!$B$11)^(VALUE(B$4)-VALUE($B$4))</f>
        <v/>
      </c>
      <c r="C8" s="19">
        <f>(1+Assumptions!$B$11)^(VALUE(C$4)-VALUE($B$4))</f>
        <v/>
      </c>
      <c r="D8" s="19">
        <f>(1+Assumptions!$B$11)^(VALUE(D$4)-VALUE($B$4))</f>
        <v/>
      </c>
      <c r="E8" s="19">
        <f>(1+Assumptions!$B$11)^(VALUE(E$4)-VALUE($B$4))</f>
        <v/>
      </c>
      <c r="F8" s="19">
        <f>(1+Assumptions!$B$11)^(VALUE(F$4)-VALUE($B$4))</f>
        <v/>
      </c>
      <c r="H8" s="20" t="inlineStr">
        <is>
          <t>wage inflation; rent held flat</t>
        </is>
      </c>
    </row>
    <row r="9">
      <c r="A9" s="18" t="inlineStr">
        <is>
          <t>New outlets open (outlet-years)</t>
        </is>
      </c>
      <c r="B9" s="21">
        <f>SUM(Assumptions!$B$55:B$55)-Assumptions!B$55/2</f>
        <v/>
      </c>
      <c r="C9" s="21">
        <f>SUM(Assumptions!$B$55:C$55)-Assumptions!C$55/2</f>
        <v/>
      </c>
      <c r="D9" s="21">
        <f>SUM(Assumptions!$B$55:D$55)-Assumptions!D$55/2</f>
        <v/>
      </c>
      <c r="E9" s="21">
        <f>SUM(Assumptions!$B$55:E$55)-Assumptions!E$55/2</f>
        <v/>
      </c>
      <c r="F9" s="21">
        <f>SUM(Assumptions!$B$55:F$55)-Assumptions!F$55/2</f>
        <v/>
      </c>
      <c r="H9" s="20" t="inlineStr">
        <is>
          <t>outlets opened mid-year count as half a year</t>
        </is>
      </c>
    </row>
    <row r="10">
      <c r="A10" s="18" t="inlineStr">
        <is>
          <t>Outlets open (average in the year)</t>
        </is>
      </c>
      <c r="B10" s="22">
        <f>Assumptions!$B$5+B9</f>
        <v/>
      </c>
      <c r="C10" s="22">
        <f>Assumptions!$B$5+C9</f>
        <v/>
      </c>
      <c r="D10" s="22">
        <f>Assumptions!$B$5+D9</f>
        <v/>
      </c>
      <c r="E10" s="22">
        <f>Assumptions!$B$5+E9</f>
        <v/>
      </c>
      <c r="F10" s="22">
        <f>Assumptions!$B$5+F9</f>
        <v/>
      </c>
      <c r="H10" s="20" t="inlineStr">
        <is>
          <t>today's outlets + new outlets</t>
        </is>
      </c>
    </row>
    <row r="11">
      <c r="A11" s="18" t="inlineStr">
        <is>
          <t>Cups sold, all outlets</t>
        </is>
      </c>
      <c r="B11" s="23">
        <f>B10*Assumptions!$B$6*B7</f>
        <v/>
      </c>
      <c r="C11" s="23">
        <f>C10*Assumptions!$B$6*C7</f>
        <v/>
      </c>
      <c r="D11" s="23">
        <f>D10*Assumptions!$B$6*D7</f>
        <v/>
      </c>
      <c r="E11" s="23">
        <f>E10*Assumptions!$B$6*E7</f>
        <v/>
      </c>
      <c r="F11" s="23">
        <f>F10*Assumptions!$B$6*F7</f>
        <v/>
      </c>
      <c r="G11" s="24">
        <f>SUM(B11:F11)</f>
        <v/>
      </c>
      <c r="H11" s="20" t="inlineStr">
        <is>
          <t>outlets × cups per outlet × growth</t>
        </is>
      </c>
    </row>
    <row r="12">
      <c r="A12" s="18" t="inlineStr">
        <is>
          <t>Revenue, all outlets</t>
        </is>
      </c>
      <c r="B12" s="25">
        <f>B11*Assumptions!$B$7</f>
        <v/>
      </c>
      <c r="C12" s="25">
        <f>C11*Assumptions!$B$7</f>
        <v/>
      </c>
      <c r="D12" s="25">
        <f>D11*Assumptions!$B$7</f>
        <v/>
      </c>
      <c r="E12" s="25">
        <f>E11*Assumptions!$B$7</f>
        <v/>
      </c>
      <c r="F12" s="25">
        <f>F11*Assumptions!$B$7</f>
        <v/>
      </c>
      <c r="G12" s="26">
        <f>SUM(B12:F12)</f>
        <v/>
      </c>
      <c r="H12" s="20" t="inlineStr">
        <is>
          <t>cups × price per cup</t>
        </is>
      </c>
    </row>
    <row r="14">
      <c r="A14" s="16" t="inlineStr">
        <is>
          <t>Revenue impact · more cups captured and served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18" t="inlineStr">
        <is>
          <t>Proposal 1 · cups recovered from walk-aways</t>
        </is>
      </c>
      <c r="B15" s="23">
        <f>B11*Assumptions!$B$24*Assumptions!$B$25*Assumptions!B$52*Assumptions!B$54</f>
        <v/>
      </c>
      <c r="C15" s="23">
        <f>C11*Assumptions!$B$24*Assumptions!$B$25*Assumptions!C$52*Assumptions!C$54</f>
        <v/>
      </c>
      <c r="D15" s="23">
        <f>D11*Assumptions!$B$24*Assumptions!$B$25*Assumptions!D$52*Assumptions!D$54</f>
        <v/>
      </c>
      <c r="E15" s="23">
        <f>E11*Assumptions!$B$24*Assumptions!$B$25*Assumptions!E$52*Assumptions!E$54</f>
        <v/>
      </c>
      <c r="F15" s="23">
        <f>F11*Assumptions!$B$24*Assumptions!$B$25*Assumptions!F$52*Assumptions!F$54</f>
        <v/>
      </c>
      <c r="G15" s="24">
        <f>SUM(B15:F15)</f>
        <v/>
      </c>
      <c r="H15" s="20" t="inlineStr">
        <is>
          <t>cups lost at peak × share recovered × coverage × effectiveness</t>
        </is>
      </c>
    </row>
    <row r="16">
      <c r="A16" s="18" t="inlineStr">
        <is>
          <t>Proposal 2 · extra cups served at the peak</t>
        </is>
      </c>
      <c r="B16" s="23">
        <f>B11*Assumptions!$B$31*Assumptions!B$53*Assumptions!B$54</f>
        <v/>
      </c>
      <c r="C16" s="23">
        <f>C11*Assumptions!$B$31*Assumptions!C$53*Assumptions!C$54</f>
        <v/>
      </c>
      <c r="D16" s="23">
        <f>D11*Assumptions!$B$31*Assumptions!D$53*Assumptions!D$54</f>
        <v/>
      </c>
      <c r="E16" s="23">
        <f>E11*Assumptions!$B$31*Assumptions!E$53*Assumptions!E$54</f>
        <v/>
      </c>
      <c r="F16" s="23">
        <f>F11*Assumptions!$B$31*Assumptions!F$53*Assumptions!F$54</f>
        <v/>
      </c>
      <c r="G16" s="24">
        <f>SUM(B16:F16)</f>
        <v/>
      </c>
      <c r="H16" s="20" t="inlineStr">
        <is>
          <t>staff and machines ready for busy days</t>
        </is>
      </c>
    </row>
    <row r="17">
      <c r="A17" s="18" t="inlineStr">
        <is>
          <t>Proposal 3 · extra cups at better-chosen sites</t>
        </is>
      </c>
      <c r="B17" s="23">
        <f>Assumptions!$B$6*Assumptions!$B$38*B9*B7</f>
        <v/>
      </c>
      <c r="C17" s="23">
        <f>Assumptions!$B$6*Assumptions!$B$38*C9*C7</f>
        <v/>
      </c>
      <c r="D17" s="23">
        <f>Assumptions!$B$6*Assumptions!$B$38*D9*D7</f>
        <v/>
      </c>
      <c r="E17" s="23">
        <f>Assumptions!$B$6*Assumptions!$B$38*E9*E7</f>
        <v/>
      </c>
      <c r="F17" s="23">
        <f>Assumptions!$B$6*Assumptions!$B$38*F9*F7</f>
        <v/>
      </c>
      <c r="G17" s="24">
        <f>SUM(B17:F17)</f>
        <v/>
      </c>
      <c r="H17" s="20" t="inlineStr">
        <is>
          <t>new outlets × uplift vs a conventional site pick</t>
        </is>
      </c>
    </row>
    <row r="18">
      <c r="A18" s="27" t="inlineStr">
        <is>
          <t>Additional cups sold</t>
        </is>
      </c>
      <c r="B18" s="28">
        <f>SUM(B15:B16)+B17</f>
        <v/>
      </c>
      <c r="C18" s="28">
        <f>SUM(C15:C16)+C17</f>
        <v/>
      </c>
      <c r="D18" s="28">
        <f>SUM(D15:D16)+D17</f>
        <v/>
      </c>
      <c r="E18" s="28">
        <f>SUM(E15:E16)+E17</f>
        <v/>
      </c>
      <c r="F18" s="28">
        <f>SUM(F15:F16)+F17</f>
        <v/>
      </c>
      <c r="G18" s="29">
        <f>SUM(B18:F18)</f>
        <v/>
      </c>
      <c r="H18" s="20" t="inlineStr"/>
    </row>
    <row r="20">
      <c r="A20" s="18" t="inlineStr">
        <is>
          <t>Proposal 1 revenue</t>
        </is>
      </c>
      <c r="B20" s="25">
        <f>B15*Assumptions!$B$7</f>
        <v/>
      </c>
      <c r="C20" s="25">
        <f>C15*Assumptions!$B$7</f>
        <v/>
      </c>
      <c r="D20" s="25">
        <f>D15*Assumptions!$B$7</f>
        <v/>
      </c>
      <c r="E20" s="25">
        <f>E15*Assumptions!$B$7</f>
        <v/>
      </c>
      <c r="F20" s="25">
        <f>F15*Assumptions!$B$7</f>
        <v/>
      </c>
      <c r="G20" s="26">
        <f>SUM(B20:F20)</f>
        <v/>
      </c>
      <c r="H20" s="20" t="inlineStr">
        <is>
          <t>cups × price per cup</t>
        </is>
      </c>
    </row>
    <row r="21">
      <c r="A21" s="18" t="inlineStr">
        <is>
          <t>Proposal 2 revenue</t>
        </is>
      </c>
      <c r="B21" s="25">
        <f>B16*Assumptions!$B$7</f>
        <v/>
      </c>
      <c r="C21" s="25">
        <f>C16*Assumptions!$B$7</f>
        <v/>
      </c>
      <c r="D21" s="25">
        <f>D16*Assumptions!$B$7</f>
        <v/>
      </c>
      <c r="E21" s="25">
        <f>E16*Assumptions!$B$7</f>
        <v/>
      </c>
      <c r="F21" s="25">
        <f>F16*Assumptions!$B$7</f>
        <v/>
      </c>
      <c r="G21" s="26">
        <f>SUM(B21:F21)</f>
        <v/>
      </c>
      <c r="H21" s="20" t="inlineStr">
        <is>
          <t>cups × price per cup</t>
        </is>
      </c>
    </row>
    <row r="22">
      <c r="A22" s="18" t="inlineStr">
        <is>
          <t>Proposal 3 revenue</t>
        </is>
      </c>
      <c r="B22" s="25">
        <f>B17*Assumptions!$B$7</f>
        <v/>
      </c>
      <c r="C22" s="25">
        <f>C17*Assumptions!$B$7</f>
        <v/>
      </c>
      <c r="D22" s="25">
        <f>D17*Assumptions!$B$7</f>
        <v/>
      </c>
      <c r="E22" s="25">
        <f>E17*Assumptions!$B$7</f>
        <v/>
      </c>
      <c r="F22" s="25">
        <f>F17*Assumptions!$B$7</f>
        <v/>
      </c>
      <c r="G22" s="26">
        <f>SUM(B22:F22)</f>
        <v/>
      </c>
      <c r="H22" s="20" t="inlineStr">
        <is>
          <t>cups × price per cup</t>
        </is>
      </c>
    </row>
    <row r="23">
      <c r="A23" s="27" t="inlineStr">
        <is>
          <t>Additional revenue</t>
        </is>
      </c>
      <c r="B23" s="30">
        <f>SUM(B20:B22)</f>
        <v/>
      </c>
      <c r="C23" s="30">
        <f>SUM(C20:C22)</f>
        <v/>
      </c>
      <c r="D23" s="30">
        <f>SUM(D20:D22)</f>
        <v/>
      </c>
      <c r="E23" s="30">
        <f>SUM(E20:E22)</f>
        <v/>
      </c>
      <c r="F23" s="30">
        <f>SUM(F20:F22)</f>
        <v/>
      </c>
      <c r="G23" s="31">
        <f>SUM(B23:F23)</f>
        <v/>
      </c>
      <c r="H23" s="20" t="inlineStr"/>
    </row>
    <row r="24">
      <c r="A24" s="18" t="inlineStr">
        <is>
          <t>Less ingredients and packaging</t>
        </is>
      </c>
      <c r="B24" s="25">
        <f>-B23*(1-Assumptions!$B$8)</f>
        <v/>
      </c>
      <c r="C24" s="25">
        <f>-C23*(1-Assumptions!$B$8)</f>
        <v/>
      </c>
      <c r="D24" s="25">
        <f>-D23*(1-Assumptions!$B$8)</f>
        <v/>
      </c>
      <c r="E24" s="25">
        <f>-E23*(1-Assumptions!$B$8)</f>
        <v/>
      </c>
      <c r="F24" s="25">
        <f>-F23*(1-Assumptions!$B$8)</f>
        <v/>
      </c>
      <c r="G24" s="26">
        <f>SUM(B24:F24)</f>
        <v/>
      </c>
      <c r="H24" s="20" t="inlineStr">
        <is>
          <t>revenue × (1 − gross margin)</t>
        </is>
      </c>
    </row>
    <row r="25">
      <c r="A25" s="27" t="inlineStr">
        <is>
          <t>Gross profit from additional sales</t>
        </is>
      </c>
      <c r="B25" s="30">
        <f>B23+B24</f>
        <v/>
      </c>
      <c r="C25" s="30">
        <f>C23+C24</f>
        <v/>
      </c>
      <c r="D25" s="30">
        <f>D23+D24</f>
        <v/>
      </c>
      <c r="E25" s="30">
        <f>E23+E24</f>
        <v/>
      </c>
      <c r="F25" s="30">
        <f>F23+F24</f>
        <v/>
      </c>
      <c r="G25" s="31">
        <f>SUM(B25:F25)</f>
        <v/>
      </c>
      <c r="H25" s="20" t="inlineStr"/>
    </row>
    <row r="27">
      <c r="A27" s="16" t="inlineStr">
        <is>
          <t>Cost impact · leaner operations (Proposal 2)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18" t="inlineStr">
        <is>
          <t>Idle staff hours avoided</t>
        </is>
      </c>
      <c r="B28" s="23">
        <f>Assumptions!$B$32*52*B10*Assumptions!B$53*Assumptions!B$54</f>
        <v/>
      </c>
      <c r="C28" s="23">
        <f>Assumptions!$B$32*52*C10*Assumptions!C$53*Assumptions!C$54</f>
        <v/>
      </c>
      <c r="D28" s="23">
        <f>Assumptions!$B$32*52*D10*Assumptions!D$53*Assumptions!D$54</f>
        <v/>
      </c>
      <c r="E28" s="23">
        <f>Assumptions!$B$32*52*E10*Assumptions!E$53*Assumptions!E$54</f>
        <v/>
      </c>
      <c r="F28" s="23">
        <f>Assumptions!$B$32*52*F10*Assumptions!F$53*Assumptions!F$54</f>
        <v/>
      </c>
      <c r="G28" s="24">
        <f>SUM(B28:F28)</f>
        <v/>
      </c>
      <c r="H28" s="20" t="inlineStr">
        <is>
          <t>hours a week × 52 × outlets × coverage × effectiveness</t>
        </is>
      </c>
    </row>
    <row r="29">
      <c r="A29" s="18" t="inlineStr">
        <is>
          <t>Staff overhead saved</t>
        </is>
      </c>
      <c r="B29" s="25">
        <f>B28*Assumptions!$B$10*B8</f>
        <v/>
      </c>
      <c r="C29" s="25">
        <f>C28*Assumptions!$B$10*C8</f>
        <v/>
      </c>
      <c r="D29" s="25">
        <f>D28*Assumptions!$B$10*D8</f>
        <v/>
      </c>
      <c r="E29" s="25">
        <f>E28*Assumptions!$B$10*E8</f>
        <v/>
      </c>
      <c r="F29" s="25">
        <f>F28*Assumptions!$B$10*F8</f>
        <v/>
      </c>
      <c r="G29" s="26">
        <f>SUM(B29:F29)</f>
        <v/>
      </c>
      <c r="H29" s="20" t="inlineStr">
        <is>
          <t>hours × labour cost per hour × wage index</t>
        </is>
      </c>
    </row>
    <row r="30">
      <c r="A30" s="18" t="inlineStr">
        <is>
          <t>Fresh stock waste avoided</t>
        </is>
      </c>
      <c r="B30" s="25">
        <f>B12*Assumptions!$B$33*Assumptions!$B$34*Assumptions!B$53*Assumptions!B$54</f>
        <v/>
      </c>
      <c r="C30" s="25">
        <f>C12*Assumptions!$B$33*Assumptions!$B$34*Assumptions!C$53*Assumptions!C$54</f>
        <v/>
      </c>
      <c r="D30" s="25">
        <f>D12*Assumptions!$B$33*Assumptions!$B$34*Assumptions!D$53*Assumptions!D$54</f>
        <v/>
      </c>
      <c r="E30" s="25">
        <f>E12*Assumptions!$B$33*Assumptions!$B$34*Assumptions!E$53*Assumptions!E$54</f>
        <v/>
      </c>
      <c r="F30" s="25">
        <f>F12*Assumptions!$B$33*Assumptions!$B$34*Assumptions!F$53*Assumptions!F$54</f>
        <v/>
      </c>
      <c r="G30" s="26">
        <f>SUM(B30:F30)</f>
        <v/>
      </c>
      <c r="H30" s="20" t="inlineStr">
        <is>
          <t>revenue × waste share × waste avoided</t>
        </is>
      </c>
    </row>
    <row r="31">
      <c r="A31" s="18" t="inlineStr">
        <is>
          <t>Tea machines avoided</t>
        </is>
      </c>
      <c r="B31" s="25">
        <f>B10*Assumptions!$B$35*Assumptions!$B$12*12*Assumptions!B$53*Assumptions!B$54</f>
        <v/>
      </c>
      <c r="C31" s="25">
        <f>C10*Assumptions!$B$35*Assumptions!$B$12*12*Assumptions!C$53*Assumptions!C$54</f>
        <v/>
      </c>
      <c r="D31" s="25">
        <f>D10*Assumptions!$B$35*Assumptions!$B$12*12*Assumptions!D$53*Assumptions!D$54</f>
        <v/>
      </c>
      <c r="E31" s="25">
        <f>E10*Assumptions!$B$35*Assumptions!$B$12*12*Assumptions!E$53*Assumptions!E$54</f>
        <v/>
      </c>
      <c r="F31" s="25">
        <f>F10*Assumptions!$B$35*Assumptions!$B$12*12*Assumptions!F$53*Assumptions!F$54</f>
        <v/>
      </c>
      <c r="G31" s="26">
        <f>SUM(B31:F31)</f>
        <v/>
      </c>
      <c r="H31" s="20" t="inlineStr">
        <is>
          <t>net machines avoided × monthly cost × 12</t>
        </is>
      </c>
    </row>
    <row r="32">
      <c r="A32" s="27" t="inlineStr">
        <is>
          <t>Operating cost savings</t>
        </is>
      </c>
      <c r="B32" s="30">
        <f>SUM(B29:B31)</f>
        <v/>
      </c>
      <c r="C32" s="30">
        <f>SUM(C29:C31)</f>
        <v/>
      </c>
      <c r="D32" s="30">
        <f>SUM(D29:D31)</f>
        <v/>
      </c>
      <c r="E32" s="30">
        <f>SUM(E29:E31)</f>
        <v/>
      </c>
      <c r="F32" s="30">
        <f>SUM(F29:F31)</f>
        <v/>
      </c>
      <c r="G32" s="31">
        <f>SUM(B32:F32)</f>
        <v/>
      </c>
      <c r="H32" s="20" t="inlineStr"/>
    </row>
    <row r="34">
      <c r="A34" s="27" t="inlineStr">
        <is>
          <t>TOTAL BENEFIT</t>
        </is>
      </c>
      <c r="B34" s="30">
        <f>B25+B32</f>
        <v/>
      </c>
      <c r="C34" s="30">
        <f>C25+C32</f>
        <v/>
      </c>
      <c r="D34" s="30">
        <f>D25+D32</f>
        <v/>
      </c>
      <c r="E34" s="30">
        <f>E25+E32</f>
        <v/>
      </c>
      <c r="F34" s="30">
        <f>F25+F32</f>
        <v/>
      </c>
      <c r="G34" s="31">
        <f>SUM(B34:F34)</f>
        <v/>
      </c>
      <c r="H34" s="20" t="inlineStr">
        <is>
          <t>gross profit + cost savings</t>
        </is>
      </c>
    </row>
    <row r="36">
      <c r="A36" s="16" t="inlineStr">
        <is>
          <t>Additional cost from initiatives</t>
        </is>
      </c>
      <c r="B36" s="17" t="n"/>
      <c r="C36" s="17" t="n"/>
      <c r="D36" s="17" t="n"/>
      <c r="E36" s="17" t="n"/>
      <c r="F36" s="17" t="n"/>
      <c r="G36" s="17" t="n"/>
      <c r="H36" s="17" t="n"/>
    </row>
    <row r="37">
      <c r="A37" s="32" t="inlineStr">
        <is>
          <t>Fixed (one-time)</t>
        </is>
      </c>
    </row>
    <row r="38">
      <c r="A38" s="18" t="inlineStr">
        <is>
          <t>Project team (manager and AI engineer)</t>
        </is>
      </c>
      <c r="B38" s="25">
        <f>Assumptions!B$56*(Assumptions!$B$41+Assumptions!$B$42)</f>
        <v/>
      </c>
      <c r="C38" s="25">
        <f>Assumptions!C$56*(Assumptions!$B$41+Assumptions!$B$42)</f>
        <v/>
      </c>
      <c r="D38" s="25">
        <f>Assumptions!D$56*(Assumptions!$B$41+Assumptions!$B$42)</f>
        <v/>
      </c>
      <c r="E38" s="25">
        <f>Assumptions!E$56*(Assumptions!$B$41+Assumptions!$B$42)</f>
        <v/>
      </c>
      <c r="F38" s="25">
        <f>Assumptions!F$56*(Assumptions!$B$41+Assumptions!$B$42)</f>
        <v/>
      </c>
      <c r="G38" s="26">
        <f>SUM(B38:F38)</f>
        <v/>
      </c>
      <c r="H38" s="20" t="inlineStr">
        <is>
          <t>months × monthly cost; design in 2026, build and pilot in 2027</t>
        </is>
      </c>
    </row>
    <row r="39">
      <c r="A39" s="18" t="inlineStr">
        <is>
          <t>Platform build</t>
        </is>
      </c>
      <c r="B39" s="25">
        <f>Assumptions!B$57*Assumptions!$B$43</f>
        <v/>
      </c>
      <c r="C39" s="25">
        <f>Assumptions!C$57*Assumptions!$B$43</f>
        <v/>
      </c>
      <c r="D39" s="25">
        <f>Assumptions!D$57*Assumptions!$B$43</f>
        <v/>
      </c>
      <c r="E39" s="25">
        <f>Assumptions!E$57*Assumptions!$B$43</f>
        <v/>
      </c>
      <c r="F39" s="25">
        <f>Assumptions!F$57*Assumptions!$B$43</f>
        <v/>
      </c>
      <c r="G39" s="26">
        <f>SUM(B39:F39)</f>
        <v/>
      </c>
      <c r="H39" s="20" t="inlineStr">
        <is>
          <t>external developers: app pop-up and delivery-app link; dashboard on off-the-shelf tools</t>
        </is>
      </c>
    </row>
    <row r="40">
      <c r="A40" s="18" t="inlineStr">
        <is>
          <t>Data pipelines and cloud set-up</t>
        </is>
      </c>
      <c r="B40" s="25">
        <f>Assumptions!B$57*Assumptions!$B$44</f>
        <v/>
      </c>
      <c r="C40" s="25">
        <f>Assumptions!C$57*Assumptions!$B$44</f>
        <v/>
      </c>
      <c r="D40" s="25">
        <f>Assumptions!D$57*Assumptions!$B$44</f>
        <v/>
      </c>
      <c r="E40" s="25">
        <f>Assumptions!E$57*Assumptions!$B$44</f>
        <v/>
      </c>
      <c r="F40" s="25">
        <f>Assumptions!F$57*Assumptions!$B$44</f>
        <v/>
      </c>
      <c r="G40" s="26">
        <f>SUM(B40:F40)</f>
        <v/>
      </c>
      <c r="H40" s="20" t="inlineStr"/>
    </row>
    <row r="41">
      <c r="A41" s="18" t="inlineStr">
        <is>
          <t>Security and PDPA review</t>
        </is>
      </c>
      <c r="B41" s="25">
        <f>Assumptions!B$57*Assumptions!$B$45</f>
        <v/>
      </c>
      <c r="C41" s="25">
        <f>Assumptions!C$57*Assumptions!$B$45</f>
        <v/>
      </c>
      <c r="D41" s="25">
        <f>Assumptions!D$57*Assumptions!$B$45</f>
        <v/>
      </c>
      <c r="E41" s="25">
        <f>Assumptions!E$57*Assumptions!$B$45</f>
        <v/>
      </c>
      <c r="F41" s="25">
        <f>Assumptions!F$57*Assumptions!$B$45</f>
        <v/>
      </c>
      <c r="G41" s="26">
        <f>SUM(B41:F41)</f>
        <v/>
      </c>
      <c r="H41" s="20" t="inlineStr">
        <is>
          <t>before customer data drives app pop-ups</t>
        </is>
      </c>
    </row>
    <row r="42">
      <c r="A42" s="18" t="inlineStr">
        <is>
          <t>Training and cross-training</t>
        </is>
      </c>
      <c r="B42" s="25">
        <f>Assumptions!B$58*Assumptions!$B$46</f>
        <v/>
      </c>
      <c r="C42" s="25">
        <f>Assumptions!C$58*Assumptions!$B$46</f>
        <v/>
      </c>
      <c r="D42" s="25">
        <f>Assumptions!D$58*Assumptions!$B$46</f>
        <v/>
      </c>
      <c r="E42" s="25">
        <f>Assumptions!E$58*Assumptions!$B$46</f>
        <v/>
      </c>
      <c r="F42" s="25">
        <f>Assumptions!F$58*Assumptions!$B$46</f>
        <v/>
      </c>
      <c r="G42" s="26">
        <f>SUM(B42:F42)</f>
        <v/>
      </c>
      <c r="H42" s="20" t="inlineStr">
        <is>
          <t>by existing zone and store managers: no incremental cost</t>
        </is>
      </c>
    </row>
    <row r="43">
      <c r="A43" s="27" t="inlineStr">
        <is>
          <t>Total fixed cost</t>
        </is>
      </c>
      <c r="B43" s="30">
        <f>SUM(B38:B42)</f>
        <v/>
      </c>
      <c r="C43" s="30">
        <f>SUM(C38:C42)</f>
        <v/>
      </c>
      <c r="D43" s="30">
        <f>SUM(D38:D42)</f>
        <v/>
      </c>
      <c r="E43" s="30">
        <f>SUM(E38:E42)</f>
        <v/>
      </c>
      <c r="F43" s="30">
        <f>SUM(F38:F42)</f>
        <v/>
      </c>
      <c r="G43" s="31">
        <f>SUM(B43:F43)</f>
        <v/>
      </c>
      <c r="H43" s="20" t="inlineStr"/>
    </row>
    <row r="44">
      <c r="A44" s="32" t="inlineStr">
        <is>
          <t>Variable (recurring)</t>
        </is>
      </c>
    </row>
    <row r="45">
      <c r="A45" s="18" t="inlineStr">
        <is>
          <t>Run team (run and improve the platform)</t>
        </is>
      </c>
      <c r="B45" s="25">
        <f>Assumptions!B$59*Assumptions!$B$47</f>
        <v/>
      </c>
      <c r="C45" s="25">
        <f>Assumptions!C$59*Assumptions!$B$47</f>
        <v/>
      </c>
      <c r="D45" s="25">
        <f>Assumptions!D$59*Assumptions!$B$47</f>
        <v/>
      </c>
      <c r="E45" s="25">
        <f>Assumptions!E$59*Assumptions!$B$47</f>
        <v/>
      </c>
      <c r="F45" s="25">
        <f>Assumptions!F$59*Assumptions!$B$47</f>
        <v/>
      </c>
      <c r="G45" s="26">
        <f>SUM(B45:F45)</f>
        <v/>
      </c>
      <c r="H45" s="20" t="inlineStr">
        <is>
          <t>from 2028</t>
        </is>
      </c>
    </row>
    <row r="46">
      <c r="A46" s="18" t="inlineStr">
        <is>
          <t>Software maintenance</t>
        </is>
      </c>
      <c r="B46" s="25">
        <f>Assumptions!B$59*Assumptions!$B$49*Assumptions!$B$43</f>
        <v/>
      </c>
      <c r="C46" s="25">
        <f>Assumptions!C$59*Assumptions!$B$49*Assumptions!$B$43</f>
        <v/>
      </c>
      <c r="D46" s="25">
        <f>Assumptions!D$59*Assumptions!$B$49*Assumptions!$B$43</f>
        <v/>
      </c>
      <c r="E46" s="25">
        <f>Assumptions!E$59*Assumptions!$B$49*Assumptions!$B$43</f>
        <v/>
      </c>
      <c r="F46" s="25">
        <f>Assumptions!F$59*Assumptions!$B$49*Assumptions!$B$43</f>
        <v/>
      </c>
      <c r="G46" s="26">
        <f>SUM(B46:F46)</f>
        <v/>
      </c>
      <c r="H46" s="20" t="inlineStr">
        <is>
          <t>share of the platform build a year, from 2028</t>
        </is>
      </c>
    </row>
    <row r="47">
      <c r="A47" s="18" t="inlineStr">
        <is>
          <t>Cloud, licences and AI services</t>
        </is>
      </c>
      <c r="B47" s="25">
        <f>Assumptions!B$60*Assumptions!$B$48</f>
        <v/>
      </c>
      <c r="C47" s="25">
        <f>Assumptions!C$60*Assumptions!$B$48</f>
        <v/>
      </c>
      <c r="D47" s="25">
        <f>Assumptions!D$60*Assumptions!$B$48</f>
        <v/>
      </c>
      <c r="E47" s="25">
        <f>Assumptions!E$60*Assumptions!$B$48</f>
        <v/>
      </c>
      <c r="F47" s="25">
        <f>Assumptions!F$60*Assumptions!$B$48</f>
        <v/>
      </c>
      <c r="G47" s="26">
        <f>SUM(B47:F47)</f>
        <v/>
      </c>
      <c r="H47" s="20" t="inlineStr">
        <is>
          <t>half a year in 2027</t>
        </is>
      </c>
    </row>
    <row r="48">
      <c r="A48" s="18" t="inlineStr">
        <is>
          <t>Chagee managers' time</t>
        </is>
      </c>
      <c r="B48" s="33">
        <f>Assumptions!B$61</f>
        <v/>
      </c>
      <c r="C48" s="33">
        <f>Assumptions!C$61</f>
        <v/>
      </c>
      <c r="D48" s="33">
        <f>Assumptions!D$61</f>
        <v/>
      </c>
      <c r="E48" s="33">
        <f>Assumptions!E$61</f>
        <v/>
      </c>
      <c r="F48" s="33">
        <f>Assumptions!F$61</f>
        <v/>
      </c>
      <c r="G48" s="26">
        <f>SUM(B48:F48)</f>
        <v/>
      </c>
      <c r="H48" s="20" t="inlineStr">
        <is>
          <t>existing staff: no incremental cost</t>
        </is>
      </c>
    </row>
    <row r="49">
      <c r="A49" s="18" t="inlineStr">
        <is>
          <t>Switch perks (Proposal 1)</t>
        </is>
      </c>
      <c r="B49" s="25">
        <f>B11*Assumptions!$B$26*Assumptions!B$52*Assumptions!B$54*Assumptions!$B$27*Assumptions!$B$28</f>
        <v/>
      </c>
      <c r="C49" s="25">
        <f>C11*Assumptions!$B$26*Assumptions!C$52*Assumptions!C$54*Assumptions!$B$27*Assumptions!$B$28</f>
        <v/>
      </c>
      <c r="D49" s="25">
        <f>D11*Assumptions!$B$26*Assumptions!D$52*Assumptions!D$54*Assumptions!$B$27*Assumptions!$B$28</f>
        <v/>
      </c>
      <c r="E49" s="25">
        <f>E11*Assumptions!$B$26*Assumptions!E$52*Assumptions!E$54*Assumptions!$B$27*Assumptions!$B$28</f>
        <v/>
      </c>
      <c r="F49" s="25">
        <f>F11*Assumptions!$B$26*Assumptions!F$52*Assumptions!F$54*Assumptions!$B$27*Assumptions!$B$28</f>
        <v/>
      </c>
      <c r="G49" s="26">
        <f>SUM(B49:F49)</f>
        <v/>
      </c>
      <c r="H49" s="20" t="inlineStr">
        <is>
          <t>redirected orders × perk share × perk cost</t>
        </is>
      </c>
    </row>
    <row r="50">
      <c r="A50" s="27" t="inlineStr">
        <is>
          <t>Total variable cost</t>
        </is>
      </c>
      <c r="B50" s="30">
        <f>SUM(B45:B49)</f>
        <v/>
      </c>
      <c r="C50" s="30">
        <f>SUM(C45:C49)</f>
        <v/>
      </c>
      <c r="D50" s="30">
        <f>SUM(D45:D49)</f>
        <v/>
      </c>
      <c r="E50" s="30">
        <f>SUM(E45:E49)</f>
        <v/>
      </c>
      <c r="F50" s="30">
        <f>SUM(F45:F49)</f>
        <v/>
      </c>
      <c r="G50" s="31">
        <f>SUM(B50:F50)</f>
        <v/>
      </c>
      <c r="H50" s="20" t="inlineStr"/>
    </row>
    <row r="52">
      <c r="A52" s="27" t="inlineStr">
        <is>
          <t>TOTAL COST</t>
        </is>
      </c>
      <c r="B52" s="30">
        <f>B43+B50</f>
        <v/>
      </c>
      <c r="C52" s="30">
        <f>C43+C50</f>
        <v/>
      </c>
      <c r="D52" s="30">
        <f>D43+D50</f>
        <v/>
      </c>
      <c r="E52" s="30">
        <f>E43+E50</f>
        <v/>
      </c>
      <c r="F52" s="30">
        <f>F43+F50</f>
        <v/>
      </c>
      <c r="G52" s="31">
        <f>SUM(B52:F52)</f>
        <v/>
      </c>
      <c r="H52" s="20" t="inlineStr"/>
    </row>
    <row r="54">
      <c r="A54" s="27" t="inlineStr">
        <is>
          <t>NET FINANCIAL IMPACT (profit)</t>
        </is>
      </c>
      <c r="B54" s="34">
        <f>B34-B52</f>
        <v/>
      </c>
      <c r="C54" s="34">
        <f>C34-C52</f>
        <v/>
      </c>
      <c r="D54" s="34">
        <f>D34-D52</f>
        <v/>
      </c>
      <c r="E54" s="34">
        <f>E34-E52</f>
        <v/>
      </c>
      <c r="F54" s="34">
        <f>F34-F52</f>
        <v/>
      </c>
      <c r="G54" s="35">
        <f>SUM(B54:F54)</f>
        <v/>
      </c>
      <c r="H54" s="20" t="inlineStr">
        <is>
          <t>total benefit − total cost</t>
        </is>
      </c>
    </row>
    <row r="55">
      <c r="A55" s="27" t="inlineStr">
        <is>
          <t>Cumulative net impact</t>
        </is>
      </c>
      <c r="B55" s="36">
        <f>SUM($B$54:B54)</f>
        <v/>
      </c>
      <c r="C55" s="36">
        <f>SUM($B$54:C54)</f>
        <v/>
      </c>
      <c r="D55" s="36">
        <f>SUM($B$54:D54)</f>
        <v/>
      </c>
      <c r="E55" s="36">
        <f>SUM($B$54:E54)</f>
        <v/>
      </c>
      <c r="F55" s="36">
        <f>SUM($B$54:F54)</f>
        <v/>
      </c>
      <c r="H55" s="20" t="inlineStr"/>
    </row>
    <row r="56">
      <c r="A56" s="18" t="inlineStr">
        <is>
          <t>Paid back by this year?</t>
        </is>
      </c>
      <c r="B56" s="37">
        <f>IF(B55&gt;0,"Yes","No")</f>
        <v/>
      </c>
      <c r="C56" s="37">
        <f>IF(C55&gt;0,"Yes","No")</f>
        <v/>
      </c>
      <c r="D56" s="37">
        <f>IF(D55&gt;0,"Yes","No")</f>
        <v/>
      </c>
      <c r="E56" s="37">
        <f>IF(E55&gt;0,"Yes","No")</f>
        <v/>
      </c>
      <c r="F56" s="37">
        <f>IF(F55&gt;0,"Yes","No")</f>
        <v/>
      </c>
      <c r="H56" s="20" t="inlineStr">
        <is>
          <t>Yes once the cumulative line is above zero</t>
        </is>
      </c>
    </row>
    <row r="58">
      <c r="A58" s="16" t="inlineStr">
        <is>
          <t>Results</t>
        </is>
      </c>
      <c r="B58" s="17" t="n"/>
      <c r="C58" s="17" t="n"/>
      <c r="D58" s="17" t="n"/>
      <c r="E58" s="17" t="n"/>
      <c r="F58" s="17" t="n"/>
      <c r="G58" s="17" t="n"/>
      <c r="H58" s="17" t="n"/>
    </row>
    <row r="59">
      <c r="A59" s="38" t="inlineStr">
        <is>
          <t>Five-year total benefit</t>
        </is>
      </c>
      <c r="B59" s="26">
        <f>G34</f>
        <v/>
      </c>
      <c r="H59" s="20" t="inlineStr"/>
    </row>
    <row r="60">
      <c r="A60" s="38" t="inlineStr">
        <is>
          <t>Five-year total cost</t>
        </is>
      </c>
      <c r="B60" s="26">
        <f>G52</f>
        <v/>
      </c>
      <c r="H60" s="20" t="inlineStr"/>
    </row>
    <row r="61">
      <c r="A61" s="38" t="inlineStr">
        <is>
          <t>Five-year net impact</t>
        </is>
      </c>
      <c r="B61" s="26">
        <f>G54</f>
        <v/>
      </c>
      <c r="H61" s="20" t="inlineStr"/>
    </row>
    <row r="62">
      <c r="A62" s="38" t="inlineStr">
        <is>
          <t>Return on cost (net ÷ cost)</t>
        </is>
      </c>
      <c r="B62" s="39">
        <f>IF(G52=0,0,G54/G52)</f>
        <v/>
      </c>
      <c r="H62" s="20" t="inlineStr"/>
    </row>
    <row r="63">
      <c r="A63" s="38" t="inlineStr">
        <is>
          <t>Breakeven year (cumulative turns positive)</t>
        </is>
      </c>
      <c r="B63" s="40">
        <f>IFERROR(INDEX($B$4:F$4,MATCH("Yes",$B$56:F$56,0)),"beyond 2030")</f>
        <v/>
      </c>
      <c r="H63" s="20" t="inlineStr">
        <is>
          <t>first year the cumulative line is above zero</t>
        </is>
      </c>
    </row>
    <row r="64">
      <c r="A64" s="38" t="inlineStr">
        <is>
          <t>Full-scale yearly net impact</t>
        </is>
      </c>
      <c r="B64" s="26">
        <f>F54</f>
        <v/>
      </c>
      <c r="H64" s="20" t="inlineStr">
        <is>
          <t>2030, all outlets, model fully learned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6" customWidth="1" min="8" max="8"/>
  </cols>
  <sheetData>
    <row r="1">
      <c r="A1" s="1" t="inlineStr">
        <is>
          <t>Chagee Singapore · five-year forecast with the three proposals (S$)</t>
        </is>
      </c>
    </row>
    <row r="2">
      <c r="A2" s="14" t="inlineStr">
        <is>
          <t>Outlet level, before head-office costs and new-store set-up (capex). Illustrative assumptions, not Chagee data.</t>
        </is>
      </c>
    </row>
    <row r="4">
      <c r="A4" s="15" t="inlineStr">
        <is>
          <t>S$</t>
        </is>
      </c>
      <c r="B4" s="12" t="inlineStr">
        <is>
          <t>2026</t>
        </is>
      </c>
      <c r="C4" s="12" t="inlineStr">
        <is>
          <t>2027</t>
        </is>
      </c>
      <c r="D4" s="12" t="inlineStr">
        <is>
          <t>2028</t>
        </is>
      </c>
      <c r="E4" s="12" t="inlineStr">
        <is>
          <t>2029</t>
        </is>
      </c>
      <c r="F4" s="12" t="inlineStr">
        <is>
          <t>2030</t>
        </is>
      </c>
      <c r="G4" s="12" t="inlineStr">
        <is>
          <t>5-year total</t>
        </is>
      </c>
      <c r="H4" s="15" t="inlineStr">
        <is>
          <t>Notes</t>
        </is>
      </c>
    </row>
    <row r="5"/>
    <row r="6">
      <c r="A6" s="16" t="inlineStr">
        <is>
          <t>Scale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18" t="inlineStr">
        <is>
          <t>Outlets at year end</t>
        </is>
      </c>
      <c r="B7" s="23">
        <f>Assumptions!$B$5+SUM(Assumptions!$B$55:B$55)</f>
        <v/>
      </c>
      <c r="C7" s="23">
        <f>Assumptions!$B$5+SUM(Assumptions!$B$55:C$55)</f>
        <v/>
      </c>
      <c r="D7" s="23">
        <f>Assumptions!$B$5+SUM(Assumptions!$B$55:D$55)</f>
        <v/>
      </c>
      <c r="E7" s="23">
        <f>Assumptions!$B$5+SUM(Assumptions!$B$55:E$55)</f>
        <v/>
      </c>
      <c r="F7" s="23">
        <f>Assumptions!$B$5+SUM(Assumptions!$B$55:F$55)</f>
        <v/>
      </c>
      <c r="H7" s="20" t="inlineStr">
        <is>
          <t>today's outlets + new outlets</t>
        </is>
      </c>
    </row>
    <row r="8">
      <c r="A8" s="18" t="inlineStr">
        <is>
          <t>Cups sold</t>
        </is>
      </c>
      <c r="B8" s="41">
        <f>Model!B11+Model!B18</f>
        <v/>
      </c>
      <c r="C8" s="41">
        <f>Model!C11+Model!C18</f>
        <v/>
      </c>
      <c r="D8" s="41">
        <f>Model!D11+Model!D18</f>
        <v/>
      </c>
      <c r="E8" s="41">
        <f>Model!E11+Model!E18</f>
        <v/>
      </c>
      <c r="F8" s="41">
        <f>Model!F11+Model!F18</f>
        <v/>
      </c>
      <c r="G8" s="24">
        <f>SUM(B8:F8)</f>
        <v/>
      </c>
      <c r="H8" s="20" t="inlineStr">
        <is>
          <t>baseline + extra cups from the proposals</t>
        </is>
      </c>
    </row>
    <row r="10">
      <c r="A10" s="16" t="inlineStr">
        <is>
          <t>Revenue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18" t="inlineStr">
        <is>
          <t>Baseline sales (organic growth and new outlets)</t>
        </is>
      </c>
      <c r="B11" s="33">
        <f>Model!B12</f>
        <v/>
      </c>
      <c r="C11" s="33">
        <f>Model!C12</f>
        <v/>
      </c>
      <c r="D11" s="33">
        <f>Model!D12</f>
        <v/>
      </c>
      <c r="E11" s="33">
        <f>Model!E12</f>
        <v/>
      </c>
      <c r="F11" s="33">
        <f>Model!F12</f>
        <v/>
      </c>
      <c r="G11" s="26">
        <f>SUM(B11:F11)</f>
        <v/>
      </c>
      <c r="H11" s="20" t="inlineStr">
        <is>
          <t>Model sheet</t>
        </is>
      </c>
    </row>
    <row r="12">
      <c r="A12" s="18" t="inlineStr">
        <is>
          <t>Additional sales from the proposals</t>
        </is>
      </c>
      <c r="B12" s="33">
        <f>Model!B23</f>
        <v/>
      </c>
      <c r="C12" s="33">
        <f>Model!C23</f>
        <v/>
      </c>
      <c r="D12" s="33">
        <f>Model!D23</f>
        <v/>
      </c>
      <c r="E12" s="33">
        <f>Model!E23</f>
        <v/>
      </c>
      <c r="F12" s="33">
        <f>Model!F23</f>
        <v/>
      </c>
      <c r="G12" s="26">
        <f>SUM(B12:F12)</f>
        <v/>
      </c>
      <c r="H12" s="20" t="inlineStr">
        <is>
          <t>Model sheet</t>
        </is>
      </c>
    </row>
    <row r="13">
      <c r="A13" s="27" t="inlineStr">
        <is>
          <t>Total revenue</t>
        </is>
      </c>
      <c r="B13" s="30">
        <f>B11+B12</f>
        <v/>
      </c>
      <c r="C13" s="30">
        <f>C11+C12</f>
        <v/>
      </c>
      <c r="D13" s="30">
        <f>D11+D12</f>
        <v/>
      </c>
      <c r="E13" s="30">
        <f>E11+E12</f>
        <v/>
      </c>
      <c r="F13" s="30">
        <f>F11+F12</f>
        <v/>
      </c>
      <c r="G13" s="31">
        <f>SUM(B13:F13)</f>
        <v/>
      </c>
      <c r="H13" s="20" t="inlineStr"/>
    </row>
    <row r="14">
      <c r="A14" s="18" t="inlineStr">
        <is>
          <t>Cost of goods sold</t>
        </is>
      </c>
      <c r="B14" s="25">
        <f>-B13*(1-Assumptions!$B$8)+Model!B30</f>
        <v/>
      </c>
      <c r="C14" s="25">
        <f>-C13*(1-Assumptions!$B$8)+Model!C30</f>
        <v/>
      </c>
      <c r="D14" s="25">
        <f>-D13*(1-Assumptions!$B$8)+Model!D30</f>
        <v/>
      </c>
      <c r="E14" s="25">
        <f>-E13*(1-Assumptions!$B$8)+Model!E30</f>
        <v/>
      </c>
      <c r="F14" s="25">
        <f>-F13*(1-Assumptions!$B$8)+Model!F30</f>
        <v/>
      </c>
      <c r="G14" s="26">
        <f>SUM(B14:F14)</f>
        <v/>
      </c>
      <c r="H14" s="20" t="inlineStr">
        <is>
          <t>revenue × (1 − gross margin), less fresh-stock waste avoided (Proposal 2)</t>
        </is>
      </c>
    </row>
    <row r="15">
      <c r="A15" s="27" t="inlineStr">
        <is>
          <t>Gross profit</t>
        </is>
      </c>
      <c r="B15" s="30">
        <f>B13+B14</f>
        <v/>
      </c>
      <c r="C15" s="30">
        <f>C13+C14</f>
        <v/>
      </c>
      <c r="D15" s="30">
        <f>D13+D14</f>
        <v/>
      </c>
      <c r="E15" s="30">
        <f>E13+E14</f>
        <v/>
      </c>
      <c r="F15" s="30">
        <f>F13+F14</f>
        <v/>
      </c>
      <c r="G15" s="31">
        <f>SUM(B15:F15)</f>
        <v/>
      </c>
      <c r="H15" s="20" t="inlineStr"/>
    </row>
    <row r="16">
      <c r="A16" s="18" t="inlineStr">
        <is>
          <t>Gross margin</t>
        </is>
      </c>
      <c r="B16" s="42">
        <f>IF(B13=0,0,B15/B13)</f>
        <v/>
      </c>
      <c r="C16" s="42">
        <f>IF(C13=0,0,C15/C13)</f>
        <v/>
      </c>
      <c r="D16" s="42">
        <f>IF(D13=0,0,D15/D13)</f>
        <v/>
      </c>
      <c r="E16" s="42">
        <f>IF(E13=0,0,E15/E13)</f>
        <v/>
      </c>
      <c r="F16" s="42">
        <f>IF(F13=0,0,F15/F13)</f>
        <v/>
      </c>
      <c r="H16" s="20" t="inlineStr"/>
    </row>
    <row r="18">
      <c r="A18" s="16" t="inlineStr">
        <is>
          <t>Operating expenses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18" t="inlineStr">
        <is>
          <t>Staff</t>
        </is>
      </c>
      <c r="B19" s="25">
        <f>-Model!B10*Assumptions!$B$15*Assumptions!$B$16*Assumptions!$B$17*Assumptions!$B$10*Model!B8+Model!B29</f>
        <v/>
      </c>
      <c r="C19" s="25">
        <f>-Model!C10*Assumptions!$B$15*Assumptions!$B$16*Assumptions!$B$17*Assumptions!$B$10*Model!C8+Model!C29</f>
        <v/>
      </c>
      <c r="D19" s="25">
        <f>-Model!D10*Assumptions!$B$15*Assumptions!$B$16*Assumptions!$B$17*Assumptions!$B$10*Model!D8+Model!D29</f>
        <v/>
      </c>
      <c r="E19" s="25">
        <f>-Model!E10*Assumptions!$B$15*Assumptions!$B$16*Assumptions!$B$17*Assumptions!$B$10*Model!E8+Model!E29</f>
        <v/>
      </c>
      <c r="F19" s="25">
        <f>-Model!F10*Assumptions!$B$15*Assumptions!$B$16*Assumptions!$B$17*Assumptions!$B$10*Model!F8+Model!F29</f>
        <v/>
      </c>
      <c r="G19" s="26">
        <f>SUM(B19:F19)</f>
        <v/>
      </c>
      <c r="H19" s="20" t="inlineStr">
        <is>
          <t>outlets × staff on shift × hours × days × wage × wage index, less idle hours saved (Proposal 2)</t>
        </is>
      </c>
    </row>
    <row r="20">
      <c r="A20" s="18" t="inlineStr">
        <is>
          <t>Rent and utilities</t>
        </is>
      </c>
      <c r="B20" s="25">
        <f>-Model!B10*(Assumptions!$B$18+Assumptions!$B$19)*12</f>
        <v/>
      </c>
      <c r="C20" s="25">
        <f>-Model!C10*(Assumptions!$B$18+Assumptions!$B$19)*12</f>
        <v/>
      </c>
      <c r="D20" s="25">
        <f>-Model!D10*(Assumptions!$B$18+Assumptions!$B$19)*12</f>
        <v/>
      </c>
      <c r="E20" s="25">
        <f>-Model!E10*(Assumptions!$B$18+Assumptions!$B$19)*12</f>
        <v/>
      </c>
      <c r="F20" s="25">
        <f>-Model!F10*(Assumptions!$B$18+Assumptions!$B$19)*12</f>
        <v/>
      </c>
      <c r="G20" s="26">
        <f>SUM(B20:F20)</f>
        <v/>
      </c>
      <c r="H20" s="20" t="inlineStr">
        <is>
          <t>outlets × monthly cost × 12</t>
        </is>
      </c>
    </row>
    <row r="21">
      <c r="A21" s="18" t="inlineStr">
        <is>
          <t>Delivery-app commissions</t>
        </is>
      </c>
      <c r="B21" s="25">
        <f>-B11*Assumptions!$B$20*Assumptions!$B$21</f>
        <v/>
      </c>
      <c r="C21" s="25">
        <f>-C11*Assumptions!$B$20*Assumptions!$B$21</f>
        <v/>
      </c>
      <c r="D21" s="25">
        <f>-D11*Assumptions!$B$20*Assumptions!$B$21</f>
        <v/>
      </c>
      <c r="E21" s="25">
        <f>-E11*Assumptions!$B$20*Assumptions!$B$21</f>
        <v/>
      </c>
      <c r="F21" s="25">
        <f>-F11*Assumptions!$B$20*Assumptions!$B$21</f>
        <v/>
      </c>
      <c r="G21" s="26">
        <f>SUM(B21:F21)</f>
        <v/>
      </c>
      <c r="H21" s="20" t="inlineStr">
        <is>
          <t>baseline revenue × delivery share × commission</t>
        </is>
      </c>
    </row>
    <row r="22">
      <c r="A22" s="18" t="inlineStr">
        <is>
          <t>Equipment: tea machines avoided</t>
        </is>
      </c>
      <c r="B22" s="33">
        <f>Model!B31</f>
        <v/>
      </c>
      <c r="C22" s="33">
        <f>Model!C31</f>
        <v/>
      </c>
      <c r="D22" s="33">
        <f>Model!D31</f>
        <v/>
      </c>
      <c r="E22" s="33">
        <f>Model!E31</f>
        <v/>
      </c>
      <c r="F22" s="33">
        <f>Model!F31</f>
        <v/>
      </c>
      <c r="G22" s="26">
        <f>SUM(B22:F22)</f>
        <v/>
      </c>
      <c r="H22" s="20" t="inlineStr">
        <is>
          <t>Proposal 2, Model sheet</t>
        </is>
      </c>
    </row>
    <row r="23">
      <c r="A23" s="18" t="inlineStr">
        <is>
          <t>AI platform and team</t>
        </is>
      </c>
      <c r="B23" s="33">
        <f>-Model!B52</f>
        <v/>
      </c>
      <c r="C23" s="33">
        <f>-Model!C52</f>
        <v/>
      </c>
      <c r="D23" s="33">
        <f>-Model!D52</f>
        <v/>
      </c>
      <c r="E23" s="33">
        <f>-Model!E52</f>
        <v/>
      </c>
      <c r="F23" s="33">
        <f>-Model!F52</f>
        <v/>
      </c>
      <c r="G23" s="26">
        <f>SUM(B23:F23)</f>
        <v/>
      </c>
      <c r="H23" s="20" t="inlineStr">
        <is>
          <t>cost of the initiatives, Model sheet</t>
        </is>
      </c>
    </row>
    <row r="24">
      <c r="A24" s="27" t="inlineStr">
        <is>
          <t>Total operating expenses</t>
        </is>
      </c>
      <c r="B24" s="30">
        <f>SUM(B19:B23)</f>
        <v/>
      </c>
      <c r="C24" s="30">
        <f>SUM(C19:C23)</f>
        <v/>
      </c>
      <c r="D24" s="30">
        <f>SUM(D19:D23)</f>
        <v/>
      </c>
      <c r="E24" s="30">
        <f>SUM(E19:E23)</f>
        <v/>
      </c>
      <c r="F24" s="30">
        <f>SUM(F19:F23)</f>
        <v/>
      </c>
      <c r="G24" s="31">
        <f>SUM(B24:F24)</f>
        <v/>
      </c>
      <c r="H24" s="20" t="inlineStr"/>
    </row>
    <row r="26">
      <c r="A26" s="27" t="inlineStr">
        <is>
          <t>OUTLET OPERATING PROFIT (before head-office costs)</t>
        </is>
      </c>
      <c r="B26" s="34">
        <f>B15+B24</f>
        <v/>
      </c>
      <c r="C26" s="34">
        <f>C15+C24</f>
        <v/>
      </c>
      <c r="D26" s="34">
        <f>D15+D24</f>
        <v/>
      </c>
      <c r="E26" s="34">
        <f>E15+E24</f>
        <v/>
      </c>
      <c r="F26" s="34">
        <f>F15+F24</f>
        <v/>
      </c>
      <c r="G26" s="35">
        <f>SUM(B26:F26)</f>
        <v/>
      </c>
      <c r="H26" s="20" t="inlineStr"/>
    </row>
    <row r="27">
      <c r="A27" s="18" t="inlineStr">
        <is>
          <t>Operating margin</t>
        </is>
      </c>
      <c r="B27" s="42">
        <f>IF(B13=0,0,B26/B13)</f>
        <v/>
      </c>
      <c r="C27" s="42">
        <f>IF(C13=0,0,C26/C13)</f>
        <v/>
      </c>
      <c r="D27" s="42">
        <f>IF(D13=0,0,D26/D13)</f>
        <v/>
      </c>
      <c r="E27" s="42">
        <f>IF(E13=0,0,E26/E13)</f>
        <v/>
      </c>
      <c r="F27" s="42">
        <f>IF(F13=0,0,F26/F13)</f>
        <v/>
      </c>
      <c r="H27" s="20" t="inlineStr"/>
    </row>
    <row r="29">
      <c r="A29" s="16" t="inlineStr">
        <is>
          <t>Memo: without the proposals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>
      <c r="A30" s="18" t="inlineStr">
        <is>
          <t>Outlet operating profit without the proposals</t>
        </is>
      </c>
      <c r="B30" s="25">
        <f>B11*Assumptions!$B$8-Model!B10*Assumptions!$B$15*Assumptions!$B$16*Assumptions!$B$17*Assumptions!$B$10*Model!B8+B20+B21</f>
        <v/>
      </c>
      <c r="C30" s="25">
        <f>C11*Assumptions!$B$8-Model!C10*Assumptions!$B$15*Assumptions!$B$16*Assumptions!$B$17*Assumptions!$B$10*Model!C8+C20+C21</f>
        <v/>
      </c>
      <c r="D30" s="25">
        <f>D11*Assumptions!$B$8-Model!D10*Assumptions!$B$15*Assumptions!$B$16*Assumptions!$B$17*Assumptions!$B$10*Model!D8+D20+D21</f>
        <v/>
      </c>
      <c r="E30" s="25">
        <f>E11*Assumptions!$B$8-Model!E10*Assumptions!$B$15*Assumptions!$B$16*Assumptions!$B$17*Assumptions!$B$10*Model!E8+E20+E21</f>
        <v/>
      </c>
      <c r="F30" s="25">
        <f>F11*Assumptions!$B$8-Model!F10*Assumptions!$B$15*Assumptions!$B$16*Assumptions!$B$17*Assumptions!$B$10*Model!F8+F20+F21</f>
        <v/>
      </c>
      <c r="G30" s="26">
        <f>SUM(B30:F30)</f>
        <v/>
      </c>
      <c r="H30" s="20" t="inlineStr">
        <is>
          <t>baseline gross profit − staff − rent and utilities − delivery commissions</t>
        </is>
      </c>
    </row>
    <row r="31">
      <c r="A31" s="18" t="inlineStr">
        <is>
          <t>Operating margin without the proposals</t>
        </is>
      </c>
      <c r="B31" s="42">
        <f>IF(B11=0,0,B30/B11)</f>
        <v/>
      </c>
      <c r="C31" s="42">
        <f>IF(C11=0,0,C30/C11)</f>
        <v/>
      </c>
      <c r="D31" s="42">
        <f>IF(D11=0,0,D30/D11)</f>
        <v/>
      </c>
      <c r="E31" s="42">
        <f>IF(E11=0,0,E30/E11)</f>
        <v/>
      </c>
      <c r="F31" s="42">
        <f>IF(F11=0,0,F30/F11)</f>
        <v/>
      </c>
      <c r="H31" s="20" t="inlineStr"/>
    </row>
    <row r="32">
      <c r="A32" s="27" t="inlineStr">
        <is>
          <t>Uplift from the proposals</t>
        </is>
      </c>
      <c r="B32" s="30">
        <f>B26-B30</f>
        <v/>
      </c>
      <c r="C32" s="30">
        <f>C26-C30</f>
        <v/>
      </c>
      <c r="D32" s="30">
        <f>D26-D30</f>
        <v/>
      </c>
      <c r="E32" s="30">
        <f>E26-E30</f>
        <v/>
      </c>
      <c r="F32" s="30">
        <f>F26-F30</f>
        <v/>
      </c>
      <c r="G32" s="31">
        <f>SUM(B32:F32)</f>
        <v/>
      </c>
      <c r="H32" s="20" t="inlineStr">
        <is>
          <t>equals the Model sheet's net impact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6" customWidth="1" min="3" max="3"/>
    <col width="30" customWidth="1" min="4" max="4"/>
    <col width="16" customWidth="1" min="5" max="5"/>
    <col width="18" customWidth="1" min="6" max="6"/>
  </cols>
  <sheetData>
    <row r="1">
      <c r="A1" s="1" t="inlineStr">
        <is>
          <t>Cost of the initiatives by stage (S$)</t>
        </is>
      </c>
    </row>
    <row r="2">
      <c r="A2" s="14" t="inlineStr">
        <is>
          <t>Linked to the Assumptions sheet. Fixed costs are one-time; recurring costs are per year at full scale.</t>
        </is>
      </c>
    </row>
    <row r="4">
      <c r="A4" s="3" t="inlineStr">
        <is>
          <t>Stage</t>
        </is>
      </c>
      <c r="B4" s="3" t="inlineStr">
        <is>
          <t>Timing</t>
        </is>
      </c>
      <c r="C4" s="3" t="inlineStr">
        <is>
          <t>Task</t>
        </is>
      </c>
      <c r="D4" s="3" t="inlineStr">
        <is>
          <t>Resources</t>
        </is>
      </c>
      <c r="E4" s="3" t="inlineStr">
        <is>
          <t>Fixed, one-time</t>
        </is>
      </c>
      <c r="F4" s="3" t="inlineStr">
        <is>
          <t>Recurring, per year</t>
        </is>
      </c>
    </row>
    <row r="5">
      <c r="A5" s="43" t="inlineStr">
        <is>
          <t>Design and plan</t>
        </is>
      </c>
      <c r="B5" s="44" t="inlineStr">
        <is>
          <t>Oct–Dec 2026</t>
        </is>
      </c>
      <c r="C5" s="44" t="inlineStr">
        <is>
          <t>Design the three proposals, audit data, plan the pilots</t>
        </is>
      </c>
      <c r="D5" s="44" t="inlineStr">
        <is>
          <t>Project manager, AI engineer</t>
        </is>
      </c>
      <c r="E5" s="45">
        <f>Assumptions!B$56*(Assumptions!$B$41+Assumptions!$B$42)</f>
        <v/>
      </c>
    </row>
    <row r="6">
      <c r="A6" s="43" t="inlineStr">
        <is>
          <t>Build and pilot</t>
        </is>
      </c>
      <c r="B6" s="44" t="inlineStr">
        <is>
          <t>2027</t>
        </is>
      </c>
      <c r="C6" s="44" t="inlineStr">
        <is>
          <t>Build the platform: app pop-up and delivery-app link; configure the dashboard and assistant on off-the-shelf tools</t>
        </is>
      </c>
      <c r="D6" s="44" t="inlineStr">
        <is>
          <t>External developers</t>
        </is>
      </c>
      <c r="E6" s="45">
        <f>Assumptions!$B$43</f>
        <v/>
      </c>
    </row>
    <row r="7">
      <c r="A7" s="44" t="inlineStr"/>
      <c r="B7" s="44" t="inlineStr">
        <is>
          <t>2027</t>
        </is>
      </c>
      <c r="C7" s="44" t="inlineStr">
        <is>
          <t>Data pipelines and cloud set-up</t>
        </is>
      </c>
      <c r="D7" s="44" t="inlineStr">
        <is>
          <t>AI engineer</t>
        </is>
      </c>
      <c r="E7" s="45">
        <f>Assumptions!$B$44</f>
        <v/>
      </c>
    </row>
    <row r="8">
      <c r="A8" s="44" t="inlineStr"/>
      <c r="B8" s="44" t="inlineStr">
        <is>
          <t>2027</t>
        </is>
      </c>
      <c r="C8" s="44" t="inlineStr">
        <is>
          <t>Security testing and PDPA review</t>
        </is>
      </c>
      <c r="D8" s="44" t="inlineStr">
        <is>
          <t>External specialist</t>
        </is>
      </c>
      <c r="E8" s="45">
        <f>Assumptions!$B$45</f>
        <v/>
      </c>
    </row>
    <row r="9">
      <c r="A9" s="44" t="inlineStr"/>
      <c r="B9" s="44" t="inlineStr">
        <is>
          <t>2027</t>
        </is>
      </c>
      <c r="C9" s="44" t="inlineStr">
        <is>
          <t>Run the project: pilots, go/no-go, roll-out</t>
        </is>
      </c>
      <c r="D9" s="44" t="inlineStr">
        <is>
          <t>Project manager, AI engineer</t>
        </is>
      </c>
      <c r="E9" s="45">
        <f>Assumptions!C$56*(Assumptions!$B$41+Assumptions!$B$42)</f>
        <v/>
      </c>
    </row>
    <row r="10">
      <c r="A10" s="44" t="inlineStr"/>
      <c r="B10" s="44" t="inlineStr">
        <is>
          <t>2027</t>
        </is>
      </c>
      <c r="C10" s="44" t="inlineStr">
        <is>
          <t>Train and cross-train outlet teams</t>
        </is>
      </c>
      <c r="D10" s="44" t="inlineStr">
        <is>
          <t>Zone and store managers (existing staff)</t>
        </is>
      </c>
      <c r="E10" s="45">
        <f>Assumptions!C$58*Assumptions!$B$46</f>
        <v/>
      </c>
    </row>
    <row r="11">
      <c r="A11" s="43" t="inlineStr">
        <is>
          <t>Run and scale</t>
        </is>
      </c>
      <c r="B11" s="44" t="inlineStr">
        <is>
          <t>2028 onwards</t>
        </is>
      </c>
      <c r="C11" s="44" t="inlineStr">
        <is>
          <t>Run and improve the platform</t>
        </is>
      </c>
      <c r="D11" s="44" t="inlineStr">
        <is>
          <t>Run team</t>
        </is>
      </c>
      <c r="F11" s="45">
        <f>Assumptions!$B$47</f>
        <v/>
      </c>
    </row>
    <row r="12">
      <c r="A12" s="44" t="inlineStr"/>
      <c r="B12" s="44" t="inlineStr">
        <is>
          <t>2028 onwards</t>
        </is>
      </c>
      <c r="C12" s="44" t="inlineStr">
        <is>
          <t>Maintain the externally built software</t>
        </is>
      </c>
      <c r="D12" s="44" t="inlineStr">
        <is>
          <t>External developers</t>
        </is>
      </c>
      <c r="F12" s="45">
        <f>Assumptions!$B$49*Assumptions!$B$43</f>
        <v/>
      </c>
    </row>
    <row r="13">
      <c r="A13" s="44" t="inlineStr"/>
      <c r="B13" s="44" t="inlineStr">
        <is>
          <t>2028 onwards</t>
        </is>
      </c>
      <c r="C13" s="44" t="inlineStr">
        <is>
          <t>Cloud, licences and AI services</t>
        </is>
      </c>
      <c r="D13" s="44" t="inlineStr">
        <is>
          <t>Cloud provider</t>
        </is>
      </c>
      <c r="F13" s="45">
        <f>Assumptions!$B$48</f>
        <v/>
      </c>
    </row>
    <row r="14">
      <c r="A14" s="44" t="inlineStr"/>
      <c r="B14" s="44" t="inlineStr">
        <is>
          <t>2028 onwards</t>
        </is>
      </c>
      <c r="C14" s="44" t="inlineStr">
        <is>
          <t>Chagee managers' time</t>
        </is>
      </c>
      <c r="D14" s="44" t="inlineStr">
        <is>
          <t>Supply chain, zone and store managers (existing staff)</t>
        </is>
      </c>
      <c r="F14" s="45">
        <f>Assumptions!D$61</f>
        <v/>
      </c>
    </row>
    <row r="15">
      <c r="A15" s="44" t="inlineStr"/>
      <c r="B15" s="44" t="inlineStr">
        <is>
          <t>2028 onwards</t>
        </is>
      </c>
      <c r="C15" s="44" t="inlineStr">
        <is>
          <t>Switch perks for redirected customers</t>
        </is>
      </c>
      <c r="D15" s="44" t="inlineStr">
        <is>
          <t>Proposal 1</t>
        </is>
      </c>
      <c r="F15" s="45">
        <f>Model!F49</f>
        <v/>
      </c>
    </row>
    <row r="16">
      <c r="A16" s="44" t="inlineStr"/>
      <c r="B16" s="44" t="inlineStr">
        <is>
          <t>2028 onwards</t>
        </is>
      </c>
      <c r="C16" s="44" t="inlineStr">
        <is>
          <t>Train each new outlet</t>
        </is>
      </c>
      <c r="D16" s="44" t="inlineStr">
        <is>
          <t>Store manager (existing staff)</t>
        </is>
      </c>
      <c r="F16" s="45">
        <f>Assumptions!D$58*Assumptions!$B$46</f>
        <v/>
      </c>
    </row>
    <row r="17">
      <c r="A17" s="27" t="inlineStr">
        <is>
          <t>Total</t>
        </is>
      </c>
      <c r="E17" s="46">
        <f>SUM(E5:E16)</f>
        <v/>
      </c>
      <c r="F17" s="46">
        <f>SUM(F5:F16)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2026-10-25T19:14:47Z</dcterms:created>
  <dcterms:modified xsi:type="dcterms:W3CDTF">2026-10-25T19:14:47Z</dcterms:modified>
</cp:coreProperties>
</file>